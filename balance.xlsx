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<sst xmlns="http://schemas.openxmlformats.org/spreadsheetml/2006/main" count="1117" uniqueCount="904">
  <si>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</si>
  <si>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</si>
  <si>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</si>
  <si>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</si>
  <si>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</si>
  <si>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</si>
  <si>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</si>
  <si>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</si>
  <si>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</si>
  <si>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</si>
  <si>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</si>
  <si>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</si>
  <si>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</si>
  <si>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</si>
  <si>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</si>
  <si>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</si>
  <si>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</si>
  <si>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</si>
  <si>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</si>
  <si>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</si>
  <si>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</si>
  <si>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</si>
  <si>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</si>
  <si>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</si>
  <si>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</si>
  <si>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</si>
  <si>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</si>
  <si>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</si>
  <si>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</si>
  <si>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</si>
  <si>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</si>
  <si>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</si>
  <si>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</si>
  <si>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</si>
  <si>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</si>
  <si>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</si>
  <si>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</si>
  <si>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</si>
  <si>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</si>
  <si>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</si>
  <si>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</si>
  <si>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</si>
  <si>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</si>
  <si>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</si>
  <si>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</si>
  <si>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</si>
  <si>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</si>
  <si>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</si>
  <si>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</si>
  <si>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</si>
  <si>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</si>
  <si>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</si>
  <si>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</si>
  <si>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</si>
  <si>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</si>
  <si>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</si>
  <si>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</si>
  <si>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</si>
  <si>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</si>
  <si>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</si>
  <si>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</si>
  <si>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</si>
  <si>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</si>
  <si>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</si>
  <si>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</si>
  <si>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</si>
  <si>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</si>
  <si>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</si>
  <si>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</si>
  <si>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</si>
  <si>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</si>
  <si>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</si>
  <si>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</si>
  <si>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</si>
  <si>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</si>
  <si>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</si>
  <si>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</si>
  <si>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</si>
  <si>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</si>
  <si>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</si>
  <si>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</si>
  <si>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</si>
  <si>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</si>
  <si>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</si>
  <si>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</si>
  <si>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</si>
  <si>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</si>
  <si>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</si>
  <si>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</si>
  <si>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</si>
  <si>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</si>
  <si>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</si>
  <si>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</si>
  <si>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</si>
  <si>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</si>
  <si>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</si>
  <si>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</si>
  <si>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</si>
  <si>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</si>
  <si>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</si>
  <si>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</si>
  <si>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</si>
  <si>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</si>
  <si>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</si>
  <si>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</si>
  <si>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</si>
  <si>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</si>
  <si>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</si>
  <si>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</si>
  <si>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</si>
  <si>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</si>
  <si>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</si>
  <si>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</si>
  <si>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</si>
  <si>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</si>
  <si>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</si>
  <si>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</si>
  <si>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</si>
  <si>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</si>
  <si>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</si>
  <si>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</si>
  <si>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</si>
  <si>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</si>
  <si>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</si>
  <si>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</si>
  <si>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</si>
  <si>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</si>
  <si>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</si>
  <si>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</si>
  <si>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</si>
  <si>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</si>
  <si>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</si>
  <si>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</si>
  <si>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</si>
  <si>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</si>
  <si>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</si>
  <si>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</si>
  <si>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</si>
  <si>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</si>
  <si>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</si>
  <si>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</si>
  <si>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</si>
  <si>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</si>
  <si>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</si>
  <si>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</si>
  <si>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</si>
  <si>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</si>
  <si>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</si>
  <si>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</si>
  <si>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</si>
  <si>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</si>
  <si>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</si>
  <si>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</si>
  <si>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</si>
  <si>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</si>
  <si>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</si>
  <si>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</si>
  <si>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</si>
  <si>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</si>
  <si>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</si>
  <si>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</si>
  <si>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</si>
  <si>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</si>
  <si>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</si>
  <si>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</si>
  <si>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</si>
  <si>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</si>
  <si>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</si>
  <si>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</si>
  <si>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</si>
  <si>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</si>
  <si>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</si>
  <si>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</si>
  <si>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</si>
  <si>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</si>
  <si>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</si>
  <si>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</si>
  <si>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</si>
  <si>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El Divorciado</t>
  </si>
  <si>
    <t>monster</t>
  </si>
  <si>
    <t>El Loco Cuarentón</t>
  </si>
  <si>
    <t>formula</t>
  </si>
  <si>
    <t>El Apurado</t>
  </si>
  <si>
    <t>tanque</t>
  </si>
  <si>
    <t>El Suegro</t>
  </si>
  <si>
    <t>carrera</t>
  </si>
  <si>
    <t>El Sin Seguro</t>
  </si>
  <si>
    <t>axel</t>
  </si>
  <si>
    <t>El Sin Licencia</t>
  </si>
  <si>
    <t>El Tío del Helado</t>
  </si>
  <si>
    <t>combi</t>
  </si>
  <si>
    <t>El Tío Raro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</si>
  <si>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</si>
  <si>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</si>
  <si>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</si>
  <si>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</si>
  <si>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</si>
  <si>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</si>
  <si>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</si>
  <si>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</si>
  <si>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</si>
  <si>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</si>
  <si>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</si>
  <si>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</si>
  <si>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</si>
  <si>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</si>
  <si>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</si>
  <si>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</si>
  <si>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</si>
  <si>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</si>
  <si>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</si>
  <si>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</si>
  <si>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</si>
  <si>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</si>
  <si>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</si>
  <si>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</si>
  <si>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El Sargento Sin Pensión</t>
  </si>
  <si>
    <t>muneca</t>
  </si>
  <si>
    <t>La Divorciada de Trapo</t>
  </si>
  <si>
    <t>El Robot en Crisis</t>
  </si>
  <si>
    <t>dino</t>
  </si>
  <si>
    <t>El Rex Jubilado</t>
  </si>
  <si>
    <t>figura</t>
  </si>
  <si>
    <t>El Mega Macho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</si>
  <si>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</si>
  <si>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</si>
  <si>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</si>
  <si>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</si>
  <si>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</si>
  <si>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</si>
  <si>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</si>
  <si>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</si>
  <si>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</si>
  <si>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</si>
  <si>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</si>
  <si>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zona o pieza (referencia)</t>
  </si>
  <si>
    <t>Efecto por nivel de la mejora: Chasis +vida, Piñón +fracción de daño, Motor +fracción de velocidad, Imán +fracción, Contador de tuercas +fracción de XP (0 = fijo)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</si>
  <si>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</si>
  <si>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</si>
  <si>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</si>
  <si>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</si>
  <si>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</si>
  <si>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</si>
  <si>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</si>
  <si>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</si>
  <si>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</si>
  <si>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</si>
  <si>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</si>
  <si>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</si>
  <si>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</si>
  <si>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</si>
  <si>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</si>
  <si>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</si>
  <si>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</si>
  <si>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</si>
  <si>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</si>
  <si>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</si>
  <si>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</si>
  <si>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</si>
  <si>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</si>
  <si>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</si>
  <si>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</si>
  <si>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</si>
  <si>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</si>
  <si>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</si>
  <si>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</si>
  <si>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</si>
  <si>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</si>
  <si>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</si>
  <si>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</si>
  <si>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</si>
  <si>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</si>
  <si>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</si>
  <si>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</si>
  <si>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</si>
  <si>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</si>
  <si>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</si>
  <si>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</si>
  <si>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</si>
  <si>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</si>
  <si>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</si>
  <si>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</si>
  <si>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</si>
  <si>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</si>
  <si>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</si>
  <si>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</si>
  <si>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</si>
  <si>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</si>
  <si>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</si>
  <si>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</si>
  <si>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</si>
  <si>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</si>
  <si>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</si>
  <si>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</si>
  <si>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</si>
  <si>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</si>
  <si>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</si>
  <si>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</si>
  <si>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</si>
  <si>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</si>
  <si>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</si>
  <si>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</si>
  <si>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</si>
  <si>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</si>
  <si>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</si>
  <si>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</si>
  <si>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</si>
  <si>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</si>
  <si>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</si>
  <si>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</si>
  <si>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</si>
  <si>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</si>
  <si>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</si>
  <si>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</si>
  <si>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</si>
  <si>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</si>
  <si>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</si>
  <si>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</si>
  <si>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</si>
  <si>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</si>
  <si>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</si>
  <si>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</si>
  <si>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</si>
  <si>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</si>
  <si>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</si>
  <si>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</si>
  <si>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</si>
  <si>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</si>
  <si>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</si>
  <si>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</si>
  <si>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</si>
  <si>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</si>
  <si>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</si>
  <si>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</si>
  <si>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</si>
  <si>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</si>
  <si>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</si>
  <si>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</si>
  <si>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</si>
  <si>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</si>
  <si>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</si>
  <si>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</si>
  <si>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</si>
  <si>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</si>
  <si>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</si>
  <si>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</si>
  <si>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</si>
  <si>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</si>
  <si>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</si>
  <si>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</si>
  <si>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</si>
  <si>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</si>
  <si>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</si>
  <si>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</si>
  <si>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</si>
  <si>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</si>
  <si>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</si>
  <si>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</si>
  <si>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</si>
  <si>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</si>
  <si>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</si>
  <si>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</si>
  <si>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</si>
  <si>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</si>
  <si>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</si>
  <si>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</si>
  <si>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</si>
  <si>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</si>
  <si>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</si>
  <si>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</si>
  <si>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</si>
  <si>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</si>
  <si>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</si>
  <si>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</si>
  <si>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</si>
  <si>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</si>
  <si>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</si>
  <si>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</si>
  <si>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</si>
  <si>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</si>
  <si>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</si>
  <si>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</si>
  <si>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</si>
  <si>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</si>
  <si>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</si>
  <si>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</si>
  <si>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</si>
  <si>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</si>
  <si>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</si>
  <si>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</si>
  <si>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</si>
  <si>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</si>
  <si>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</si>
  <si>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</si>
  <si>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</si>
  <si>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</si>
  <si>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</si>
  <si>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</si>
  <si>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</si>
  <si>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</si>
  <si>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</si>
  <si>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</si>
  <si>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</si>
  <si>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</si>
  <si>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</si>
  <si>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</si>
  <si>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</si>
  <si>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</si>
  <si>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</si>
  <si>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</si>
  <si>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</si>
  <si>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</si>
  <si>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</si>
  <si>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</si>
  <si>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</si>
  <si>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</si>
  <si>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</si>
  <si>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</si>
  <si>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</si>
  <si>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</si>
  <si>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</si>
  <si>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</si>
  <si>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</si>
  <si>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</si>
  <si>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</si>
  <si>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</si>
  <si>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</si>
  <si>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</si>
  <si>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</si>
  <si>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</si>
  <si>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</si>
  <si>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</si>
  <si>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</si>
  <si>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</si>
  <si>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</si>
  <si>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</si>
  <si>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</si>
  <si>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</si>
  <si>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</si>
  <si>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</si>
  <si>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</si>
  <si>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</si>
  <si>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</si>
  <si>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</si>
  <si>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</si>
  <si>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</si>
  <si>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</si>
  <si>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</si>
  <si>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</si>
  <si>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</si>
  <si>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</si>
  <si>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</si>
  <si>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</si>
  <si>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</si>
  <si>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</si>
  <si>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</si>
  <si>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</si>
  <si>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</si>
  <si>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</si>
  <si>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</si>
  <si>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</si>
  <si>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</si>
  <si>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</si>
  <si>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</si>
  <si>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</si>
  <si>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</si>
  <si>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</si>
  <si>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</si>
  <si>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</si>
  <si>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</si>
  <si>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</si>
  <si>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</si>
  <si>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</si>
  <si>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</si>
  <si>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</si>
  <si>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</si>
  <si>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</si>
  <si>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</si>
  <si>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</si>
  <si>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</si>
  <si>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</si>
  <si>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</si>
  <si>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</si>
  <si>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</si>
  <si>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</si>
  <si>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</si>
  <si>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</si>
  <si>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</si>
  <si>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</si>
  <si>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</si>
  <si>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</si>
  <si>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</si>
  <si>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</si>
  <si>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</si>
  <si>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</si>
  <si>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</si>
  <si>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</si>
  <si>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</si>
  <si>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</si>
  <si>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</si>
  <si>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</si>
  <si>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</si>
  <si>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</si>
  <si>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</si>
  <si>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</si>
  <si>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</si>
  <si>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</si>
  <si>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</si>
  <si>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</si>
  <si>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</si>
  <si>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</si>
  <si>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</si>
  <si>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</si>
  <si>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</si>
  <si>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</si>
  <si>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</si>
  <si>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</si>
  <si>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</si>
  <si>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</si>
  <si>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</si>
  <si>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</si>
  <si>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</si>
  <si>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</si>
  <si>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</si>
  <si>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</si>
  <si>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</si>
  <si>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</si>
  <si>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</si>
  <si>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</si>
  <si>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</si>
  <si>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</si>
  <si>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</si>
  <si>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</si>
  <si>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</si>
  <si>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</si>
  <si>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</si>
  <si>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</si>
  <si>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</si>
  <si>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</si>
  <si>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</si>
  <si>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</si>
  <si>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</si>
  <si>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</si>
  <si>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</si>
  <si>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</si>
  <si>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</si>
  <si>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</si>
  <si>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</si>
  <si>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</si>
  <si>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</si>
  <si>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</si>
  <si>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</si>
  <si>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</si>
  <si>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</si>
  <si>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</si>
  <si>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</si>
  <si>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</si>
  <si>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</si>
  <si>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</si>
  <si>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</si>
  <si>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</si>
  <si>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</si>
  <si>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</si>
  <si>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</si>
  <si>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</si>
  <si>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</si>
  <si>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</si>
  <si>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</si>
  <si>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</si>
  <si>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</si>
  <si>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</si>
  <si>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</si>
  <si>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</si>
  <si>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</si>
  <si>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</si>
  <si>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</si>
  <si>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</si>
  <si>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</si>
  <si>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</si>
  <si>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</si>
  <si>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</si>
  <si>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</si>
  <si>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</si>
  <si>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</si>
  <si>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</si>
  <si>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</si>
  <si>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</si>
  <si>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</si>
  <si>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</si>
  <si>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</si>
  <si>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</si>
  <si>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</si>
  <si>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</si>
  <si>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</si>
  <si>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</si>
  <si>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</si>
  <si>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</si>
  <si>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</si>
  <si>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</si>
  <si>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</si>
  <si>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</si>
  <si>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</si>
  <si>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</si>
  <si>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</si>
  <si>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</si>
  <si>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</si>
  <si>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</si>
  <si>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</si>
  <si>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</si>
  <si>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</si>
  <si>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</si>
  <si>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</si>
  <si>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</si>
  <si>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</si>
  <si>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</si>
  <si>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</si>
  <si>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</si>
  <si>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</si>
  <si>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</si>
  <si>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</si>
  <si>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</si>
  <si>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</si>
  <si>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</si>
  <si>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</si>
  <si>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</si>
  <si>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</si>
  <si>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</si>
  <si>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</si>
  <si>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</si>
  <si>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</si>
  <si>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</si>
  <si>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</si>
  <si>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</si>
  <si>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</si>
  <si>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</si>
  <si>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</si>
  <si>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</si>
  <si>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</si>
  <si>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</si>
  <si>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</si>
  <si>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</si>
  <si>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</si>
  <si>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</si>
  <si>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</si>
  <si>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</si>
  <si>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</si>
  <si>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</si>
  <si>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</si>
  <si>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</si>
  <si>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</si>
  <si>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</si>
  <si>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</si>
  <si>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</si>
  <si>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</si>
  <si>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</si>
  <si>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</si>
  <si>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</si>
  <si>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</si>
  <si>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</si>
  <si>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</si>
  <si>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</si>
  <si>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</si>
  <si>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</si>
  <si>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</si>
  <si>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</si>
  <si>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</si>
  <si>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</si>
  <si>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</si>
  <si>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</si>
  <si>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</si>
  <si>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</si>
  <si>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</si>
  <si>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</si>
  <si>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</si>
  <si>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</si>
  <si>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</si>
  <si>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</si>
  <si>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</si>
  <si>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</si>
  <si>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</si>
  <si>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</si>
  <si>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</si>
  <si>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</si>
  <si>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</si>
  <si>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</si>
  <si>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</si>
  <si>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</si>
  <si>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</si>
  <si>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</si>
  <si>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</si>
  <si>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</si>
  <si>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</si>
  <si>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</si>
  <si>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</si>
  <si>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</si>
  <si>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</si>
  <si>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</si>
  <si>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</si>
  <si>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</si>
  <si>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</si>
  <si>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</si>
  <si>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</si>
  <si>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</si>
  <si>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</si>
  <si>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</si>
  <si>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</si>
  <si>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</si>
  <si>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</si>
  <si>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</si>
  <si>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</si>
  <si>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</si>
  <si>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</si>
  <si>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</si>
  <si>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</si>
  <si>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</si>
  <si>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</si>
  <si>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</si>
  <si>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</si>
  <si>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</si>
  <si>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</si>
  <si>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</si>
  <si>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</si>
  <si>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</si>
  <si>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</si>
  <si>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</si>
  <si>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</si>
  <si>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</si>
  <si>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</si>
  <si>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</si>
  <si>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</si>
  <si>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</si>
  <si>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</si>
  <si>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</si>
  <si>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</si>
  <si>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</si>
  <si>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</si>
  <si>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</si>
  <si>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</si>
  <si>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</si>
  <si>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</si>
  <si>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</si>
  <si>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</si>
  <si>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</si>
  <si>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</si>
  <si>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</si>
  <si>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</si>
  <si>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</si>
  <si>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</si>
  <si>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</si>
  <si>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</si>
  <si>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</si>
  <si>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</si>
  <si>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</si>
  <si>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</si>
  <si>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</si>
  <si>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</si>
  <si>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</si>
  <si>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</si>
  <si>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</si>
  <si>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</si>
  <si>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</si>
  <si>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</si>
  <si>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</si>
  <si>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</si>
  <si>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</si>
  <si>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</si>
  <si>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</si>
  <si>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</si>
  <si>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</si>
  <si>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</si>
  <si>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</si>
  <si>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</si>
  <si>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</si>
  <si>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</si>
  <si>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</si>
  <si>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</si>
  <si>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</si>
  <si>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</si>
  <si>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</si>
  <si>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</si>
  <si>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</si>
  <si>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</si>
  <si>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</si>
  <si>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</si>
  <si>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</si>
  <si>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</si>
  <si>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</si>
  <si>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</si>
  <si>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</si>
  <si>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</si>
  <si>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</si>
  <si>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</si>
  <si>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</si>
  <si>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</si>
  <si>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</si>
  <si>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</si>
  <si>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</si>
  <si>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</si>
  <si>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</si>
  <si>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</si>
  <si>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</si>
  <si>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</si>
  <si>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</si>
  <si>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</si>
  <si>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</si>
  <si>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</si>
  <si>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</si>
  <si>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</si>
  <si>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</si>
  <si>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</si>
  <si>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</si>
  <si>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</si>
  <si>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</si>
  <si>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</si>
  <si>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</si>
  <si>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</si>
  <si>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</si>
  <si>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</si>
  <si>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</si>
  <si>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</si>
  <si>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</si>
  <si>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</si>
  <si>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</si>
  <si>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</si>
  <si>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</si>
  <si>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</si>
  <si>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</si>
  <si>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</si>
  <si>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</si>
  <si>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</si>
  <si>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</si>
  <si>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</si>
  <si>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</si>
  <si>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</si>
  <si>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</si>
  <si>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</si>
  <si>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</si>
  <si>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</si>
  <si>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</si>
  <si>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</si>
  <si>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</si>
  <si>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</si>
  <si>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</si>
  <si>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</si>
  <si>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</si>
  <si>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</si>
  <si>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</si>
  <si>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</si>
  <si>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</si>
  <si>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</si>
  <si>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</si>
  <si>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</si>
  <si>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</si>
  <si>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</si>
  <si>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</si>
  <si>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</si>
  <si>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</si>
  <si>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</si>
  <si>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</si>
  <si>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</si>
  <si>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</si>
  <si>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</si>
  <si>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</si>
  <si>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</si>
  <si>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</si>
  <si>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</si>
  <si>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</si>
  <si>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</si>
  <si>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</si>
  <si>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</si>
  <si>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</si>
  <si>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</si>
  <si>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</si>
  <si>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</si>
  <si>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</si>
  <si>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</si>
  <si>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</si>
  <si>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</si>
  <si>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</si>
  <si>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</si>
  <si>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</si>
  <si>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arma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</si>
  <si>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</si>
  <si>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</si>
  <si>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</si>
  <si>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</si>
  <si>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</si>
  <si>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</si>
  <si>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</si>
  <si>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</si>
  <si>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</si>
  <si>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</si>
  <si>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</si>
  <si>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</si>
  <si>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</si>
  <si>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(editable; el taller se calibró con ≈ 100)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</si>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</sst>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8000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7500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7000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186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187</v>
      </c>
      <c r="B8" t="s">
        <v>188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189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190</v>
      </c>
      <c r="B10" t="s">
        <v>191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192</v>
      </c>
      <c r="E1" s="3" t="s">
        <v>193</v>
      </c>
      <c r="F1" s="3" t="s">
        <v>194</v>
      </c>
      <c r="G1" s="3" t="s">
        <v>195</v>
      </c>
      <c r="H1" s="3" t="s">
        <v>196</v>
      </c>
      <c r="I1" s="3" t="s">
        <v>197</v>
      </c>
      <c r="J1" s="3" t="s">
        <v>198</v>
      </c>
      <c r="K1" s="3" t="s">
        <v>199</v>
      </c>
      <c r="L1" s="3" t="s">
        <v>200</v>
      </c>
      <c r="M1" s="3" t="s">
        <v>201</v>
      </c>
      <c r="N1" s="3" t="s">
        <v>202</v>
      </c>
    </row>
    <row r="2" ht="78" customHeight="1" spans="1:14" x14ac:dyDescent="0.25">
      <c r="A2" s="4" t="s">
        <v>145</v>
      </c>
      <c r="B2" s="5" t="s">
        <v>81</v>
      </c>
      <c r="C2" s="5" t="s">
        <v>203</v>
      </c>
      <c r="D2" s="5" t="s">
        <v>204</v>
      </c>
      <c r="E2" s="5" t="s">
        <v>205</v>
      </c>
      <c r="F2" s="5" t="s">
        <v>206</v>
      </c>
      <c r="G2" s="5" t="s">
        <v>207</v>
      </c>
      <c r="H2" s="5" t="s">
        <v>208</v>
      </c>
      <c r="I2" s="5" t="s">
        <v>209</v>
      </c>
      <c r="J2" s="5" t="s">
        <v>210</v>
      </c>
      <c r="K2" s="5" t="s">
        <v>211</v>
      </c>
      <c r="L2" s="5" t="s">
        <v>212</v>
      </c>
      <c r="M2" s="5" t="s">
        <v>213</v>
      </c>
      <c r="N2" s="5" t="s">
        <v>214</v>
      </c>
    </row>
    <row r="3" spans="1:14" x14ac:dyDescent="0.25">
      <c r="A3" s="1" t="s">
        <v>215</v>
      </c>
      <c r="B3" t="s">
        <v>216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217</v>
      </c>
      <c r="B4" t="s">
        <v>218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219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220</v>
      </c>
      <c r="B6" t="s">
        <v>221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222</v>
      </c>
      <c r="B7" t="s">
        <v>223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224</v>
      </c>
      <c r="E1" s="3" t="s">
        <v>225</v>
      </c>
      <c r="F1" s="3" t="s">
        <v>226</v>
      </c>
      <c r="G1" s="3" t="s">
        <v>227</v>
      </c>
      <c r="H1" s="3" t="s">
        <v>228</v>
      </c>
      <c r="I1" s="3" t="s">
        <v>229</v>
      </c>
      <c r="J1" s="3" t="s">
        <v>230</v>
      </c>
      <c r="K1" s="3" t="s">
        <v>231</v>
      </c>
      <c r="L1" s="3" t="s">
        <v>232</v>
      </c>
      <c r="M1" s="3" t="s">
        <v>233</v>
      </c>
      <c r="N1" s="3" t="s">
        <v>234</v>
      </c>
    </row>
    <row r="2" ht="78" customHeight="1" spans="1:14" x14ac:dyDescent="0.25">
      <c r="A2" s="4" t="s">
        <v>145</v>
      </c>
      <c r="B2" s="5" t="s">
        <v>235</v>
      </c>
      <c r="C2" s="5" t="s">
        <v>81</v>
      </c>
      <c r="D2" s="5" t="s">
        <v>236</v>
      </c>
      <c r="E2" s="5" t="s">
        <v>237</v>
      </c>
      <c r="F2" s="5" t="s">
        <v>238</v>
      </c>
      <c r="G2" s="5" t="s">
        <v>239</v>
      </c>
      <c r="H2" s="5" t="s">
        <v>240</v>
      </c>
      <c r="I2" s="5" t="s">
        <v>241</v>
      </c>
      <c r="J2" s="5" t="s">
        <v>242</v>
      </c>
      <c r="K2" s="5" t="s">
        <v>243</v>
      </c>
      <c r="L2" s="5" t="s">
        <v>244</v>
      </c>
      <c r="M2" s="5" t="s">
        <v>245</v>
      </c>
      <c r="N2" s="5" t="s">
        <v>246</v>
      </c>
    </row>
    <row r="3" spans="1:14" x14ac:dyDescent="0.25">
      <c r="A3" s="1" t="s">
        <v>247</v>
      </c>
      <c r="B3" t="s">
        <v>248</v>
      </c>
      <c r="C3" t="s">
        <v>249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250</v>
      </c>
      <c r="B4" t="s">
        <v>248</v>
      </c>
      <c r="C4" t="s">
        <v>251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252</v>
      </c>
      <c r="B5" t="s">
        <v>248</v>
      </c>
      <c r="C5" t="s">
        <v>253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254</v>
      </c>
      <c r="B6" t="s">
        <v>248</v>
      </c>
      <c r="C6" t="s">
        <v>255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13</v>
      </c>
      <c r="B7" t="s">
        <v>248</v>
      </c>
      <c r="C7" t="s">
        <v>256</v>
      </c>
      <c r="D7">
        <v>0.05</v>
      </c>
      <c r="E7">
        <v>80</v>
      </c>
      <c r="F7">
        <v>180</v>
      </c>
      <c r="G7">
        <v>320</v>
      </c>
      <c r="H7">
        <v>500</v>
      </c>
    </row>
    <row r="8" spans="1:14" x14ac:dyDescent="0.25">
      <c r="A8" s="1" t="s">
        <v>257</v>
      </c>
      <c r="B8" t="s">
        <v>248</v>
      </c>
      <c r="C8" t="s">
        <v>258</v>
      </c>
      <c r="D8">
        <v>0</v>
      </c>
      <c r="E8">
        <v>100</v>
      </c>
      <c r="F8">
        <v>250</v>
      </c>
      <c r="G8">
        <v>450</v>
      </c>
    </row>
    <row r="9" spans="1:14" x14ac:dyDescent="0.25">
      <c r="A9" s="1" t="s">
        <v>259</v>
      </c>
      <c r="B9" t="s">
        <v>248</v>
      </c>
      <c r="C9" t="s">
        <v>260</v>
      </c>
      <c r="D9">
        <v>0</v>
      </c>
      <c r="E9">
        <v>500</v>
      </c>
    </row>
    <row r="10" spans="1:14" x14ac:dyDescent="0.25">
      <c r="A10" s="1" t="s">
        <v>261</v>
      </c>
      <c r="B10" t="s">
        <v>248</v>
      </c>
      <c r="C10" t="s">
        <v>262</v>
      </c>
      <c r="D10">
        <v>0</v>
      </c>
      <c r="E10">
        <v>600</v>
      </c>
      <c r="F10">
        <v>1800</v>
      </c>
    </row>
    <row r="11" spans="1:14" x14ac:dyDescent="0.25">
      <c r="A11" s="1" t="s">
        <v>263</v>
      </c>
      <c r="B11" t="s">
        <v>248</v>
      </c>
      <c r="C11" t="s">
        <v>264</v>
      </c>
      <c r="D11">
        <v>0</v>
      </c>
      <c r="E11">
        <v>2200</v>
      </c>
    </row>
    <row r="12" spans="1:14" x14ac:dyDescent="0.25">
      <c r="A12" s="1" t="s">
        <v>265</v>
      </c>
      <c r="B12" t="s">
        <v>266</v>
      </c>
      <c r="C12" t="s">
        <v>267</v>
      </c>
      <c r="D12">
        <v>0</v>
      </c>
      <c r="E12">
        <v>700</v>
      </c>
    </row>
    <row r="13" spans="1:14" x14ac:dyDescent="0.25">
      <c r="A13" s="1" t="s">
        <v>268</v>
      </c>
      <c r="B13" t="s">
        <v>266</v>
      </c>
      <c r="C13" t="s">
        <v>269</v>
      </c>
      <c r="D13">
        <v>0</v>
      </c>
      <c r="E13">
        <v>1000</v>
      </c>
    </row>
    <row r="14" spans="1:14" x14ac:dyDescent="0.25">
      <c r="A14" s="1" t="s">
        <v>270</v>
      </c>
      <c r="B14" t="s">
        <v>271</v>
      </c>
      <c r="C14" t="s">
        <v>272</v>
      </c>
      <c r="D14">
        <v>0</v>
      </c>
      <c r="E14">
        <v>60</v>
      </c>
    </row>
    <row r="15" spans="1:14" x14ac:dyDescent="0.25">
      <c r="A15" s="1" t="s">
        <v>273</v>
      </c>
      <c r="B15" t="s">
        <v>271</v>
      </c>
      <c r="C15" t="s">
        <v>274</v>
      </c>
      <c r="D15">
        <v>0</v>
      </c>
      <c r="E15">
        <v>110</v>
      </c>
    </row>
    <row r="16" spans="1:14" x14ac:dyDescent="0.25">
      <c r="A16" s="1" t="s">
        <v>275</v>
      </c>
      <c r="B16" t="s">
        <v>271</v>
      </c>
      <c r="C16" t="s">
        <v>276</v>
      </c>
      <c r="D16">
        <v>0</v>
      </c>
      <c r="E16">
        <v>40</v>
      </c>
    </row>
    <row r="17" spans="1:14" x14ac:dyDescent="0.25">
      <c r="A17" s="1" t="s">
        <v>277</v>
      </c>
      <c r="B17" t="s">
        <v>271</v>
      </c>
      <c r="C17" t="s">
        <v>278</v>
      </c>
      <c r="D17">
        <v>0</v>
      </c>
      <c r="E17">
        <v>60</v>
      </c>
    </row>
    <row r="18" spans="1:14" x14ac:dyDescent="0.25">
      <c r="A18" s="1" t="s">
        <v>279</v>
      </c>
      <c r="B18" t="s">
        <v>271</v>
      </c>
      <c r="C18" t="s">
        <v>280</v>
      </c>
      <c r="D18">
        <v>0</v>
      </c>
      <c r="E18">
        <v>90</v>
      </c>
    </row>
    <row r="19" spans="1:14" x14ac:dyDescent="0.25">
      <c r="A19" s="1" t="s">
        <v>281</v>
      </c>
      <c r="B19" t="s">
        <v>271</v>
      </c>
      <c r="C19" t="s">
        <v>282</v>
      </c>
      <c r="D19">
        <v>0</v>
      </c>
      <c r="E19">
        <v>50</v>
      </c>
    </row>
    <row r="20" spans="1:14" x14ac:dyDescent="0.25">
      <c r="A20" s="1" t="s">
        <v>283</v>
      </c>
      <c r="B20" t="s">
        <v>271</v>
      </c>
      <c r="C20" t="s">
        <v>284</v>
      </c>
      <c r="D20">
        <v>0</v>
      </c>
      <c r="E20">
        <v>80</v>
      </c>
    </row>
    <row r="21" spans="1:14" x14ac:dyDescent="0.25">
      <c r="A21" s="1" t="s">
        <v>285</v>
      </c>
      <c r="B21" t="s">
        <v>271</v>
      </c>
      <c r="C21" t="s">
        <v>286</v>
      </c>
      <c r="D21">
        <v>0</v>
      </c>
      <c r="E21">
        <v>120</v>
      </c>
    </row>
    <row r="22" spans="1:14" x14ac:dyDescent="0.25">
      <c r="A22" s="1" t="s">
        <v>287</v>
      </c>
      <c r="B22" t="s">
        <v>271</v>
      </c>
      <c r="C22" t="s">
        <v>288</v>
      </c>
      <c r="D22">
        <v>0</v>
      </c>
      <c r="E22">
        <v>60</v>
      </c>
    </row>
    <row r="23" spans="1:14" x14ac:dyDescent="0.25">
      <c r="A23" s="1" t="s">
        <v>289</v>
      </c>
      <c r="B23" t="s">
        <v>271</v>
      </c>
      <c r="C23" t="s">
        <v>290</v>
      </c>
      <c r="D23">
        <v>0</v>
      </c>
      <c r="E2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291</v>
      </c>
      <c r="D1" s="3" t="s">
        <v>292</v>
      </c>
      <c r="E1" s="3" t="s">
        <v>293</v>
      </c>
      <c r="F1" s="3" t="s">
        <v>294</v>
      </c>
      <c r="G1" s="3" t="s">
        <v>295</v>
      </c>
      <c r="H1" s="3" t="s">
        <v>296</v>
      </c>
      <c r="I1" s="3" t="s">
        <v>297</v>
      </c>
      <c r="J1" s="3" t="s">
        <v>298</v>
      </c>
      <c r="K1" s="3" t="s">
        <v>299</v>
      </c>
      <c r="L1" s="3" t="s">
        <v>300</v>
      </c>
      <c r="M1" s="3" t="s">
        <v>301</v>
      </c>
      <c r="N1" s="3" t="s">
        <v>302</v>
      </c>
    </row>
    <row r="2" ht="78" customHeight="1" spans="1:14" x14ac:dyDescent="0.25">
      <c r="A2" s="4" t="s">
        <v>145</v>
      </c>
      <c r="B2" s="5" t="s">
        <v>81</v>
      </c>
      <c r="C2" s="5" t="s">
        <v>303</v>
      </c>
      <c r="D2" s="5" t="s">
        <v>304</v>
      </c>
      <c r="E2" s="5" t="s">
        <v>305</v>
      </c>
      <c r="F2" s="5" t="s">
        <v>306</v>
      </c>
      <c r="G2" s="5" t="s">
        <v>307</v>
      </c>
      <c r="H2" s="5" t="s">
        <v>308</v>
      </c>
      <c r="I2" s="5" t="s">
        <v>309</v>
      </c>
      <c r="J2" s="5" t="s">
        <v>310</v>
      </c>
      <c r="K2" s="5" t="s">
        <v>311</v>
      </c>
      <c r="L2" s="5" t="s">
        <v>312</v>
      </c>
      <c r="M2" s="5" t="s">
        <v>313</v>
      </c>
      <c r="N2" s="5" t="s">
        <v>314</v>
      </c>
    </row>
    <row r="3" spans="1:14" x14ac:dyDescent="0.25">
      <c r="A3" s="1" t="s">
        <v>315</v>
      </c>
      <c r="B3" t="s">
        <v>316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317</v>
      </c>
      <c r="B4" t="s">
        <v>318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319</v>
      </c>
      <c r="B5" t="s">
        <v>320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321</v>
      </c>
      <c r="B6" t="s">
        <v>322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323</v>
      </c>
      <c r="B7" t="s">
        <v>324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329</v>
      </c>
      <c r="B3">
        <v>3</v>
      </c>
      <c r="C3" t="s">
        <v>330</v>
      </c>
    </row>
    <row r="4" spans="1:3" x14ac:dyDescent="0.25">
      <c r="A4" s="1" t="s">
        <v>331</v>
      </c>
      <c r="B4">
        <v>12</v>
      </c>
      <c r="C4" t="s">
        <v>332</v>
      </c>
    </row>
    <row r="5" spans="1:3" x14ac:dyDescent="0.25">
      <c r="A5" s="1" t="s">
        <v>333</v>
      </c>
      <c r="B5">
        <v>0.8</v>
      </c>
      <c r="C5" t="s">
        <v>334</v>
      </c>
    </row>
    <row r="6" spans="1:3" x14ac:dyDescent="0.25">
      <c r="A6" s="1" t="s">
        <v>335</v>
      </c>
      <c r="B6">
        <v>0.16</v>
      </c>
      <c r="C6" t="s">
        <v>336</v>
      </c>
    </row>
    <row r="7" spans="1:3" x14ac:dyDescent="0.25">
      <c r="A7" s="1" t="s">
        <v>337</v>
      </c>
      <c r="B7">
        <v>2</v>
      </c>
      <c r="C7" t="s">
        <v>338</v>
      </c>
    </row>
    <row r="8" spans="1:3" x14ac:dyDescent="0.25">
      <c r="A8" s="1" t="s">
        <v>339</v>
      </c>
      <c r="B8">
        <v>0.35</v>
      </c>
      <c r="C8" t="s">
        <v>340</v>
      </c>
    </row>
    <row r="9" spans="1:3" x14ac:dyDescent="0.25">
      <c r="A9" s="1" t="s">
        <v>341</v>
      </c>
      <c r="B9">
        <v>3</v>
      </c>
      <c r="C9" t="s">
        <v>342</v>
      </c>
    </row>
    <row r="10" spans="1:3" x14ac:dyDescent="0.25">
      <c r="A10" s="1" t="s">
        <v>343</v>
      </c>
      <c r="B10">
        <v>0.09</v>
      </c>
      <c r="C10" t="s">
        <v>344</v>
      </c>
    </row>
    <row r="11" spans="1:3" x14ac:dyDescent="0.25">
      <c r="A11" s="1" t="s">
        <v>345</v>
      </c>
      <c r="B11">
        <v>4</v>
      </c>
      <c r="C11" t="s">
        <v>346</v>
      </c>
    </row>
    <row r="12" spans="1:3" x14ac:dyDescent="0.25">
      <c r="A12" s="1" t="s">
        <v>347</v>
      </c>
      <c r="B12">
        <v>4</v>
      </c>
      <c r="C12" t="s">
        <v>348</v>
      </c>
    </row>
    <row r="13" spans="1:3" x14ac:dyDescent="0.25">
      <c r="A13" s="1" t="s">
        <v>349</v>
      </c>
      <c r="B13">
        <v>0.7</v>
      </c>
      <c r="C13" t="s">
        <v>350</v>
      </c>
    </row>
    <row r="14" spans="1:3" x14ac:dyDescent="0.25">
      <c r="A14" s="1" t="s">
        <v>351</v>
      </c>
      <c r="B14">
        <v>0.6</v>
      </c>
      <c r="C14" t="s">
        <v>352</v>
      </c>
    </row>
    <row r="15" spans="1:3" x14ac:dyDescent="0.25">
      <c r="A15" s="1" t="s">
        <v>353</v>
      </c>
      <c r="B15">
        <v>6</v>
      </c>
      <c r="C15" t="s">
        <v>354</v>
      </c>
    </row>
    <row r="16" spans="1:3" x14ac:dyDescent="0.25">
      <c r="A16" s="1" t="s">
        <v>355</v>
      </c>
      <c r="B16">
        <v>0.5</v>
      </c>
      <c r="C16" t="s">
        <v>356</v>
      </c>
    </row>
    <row r="17" spans="1:3" x14ac:dyDescent="0.25">
      <c r="A17" s="1" t="s">
        <v>357</v>
      </c>
      <c r="B17">
        <v>0.3</v>
      </c>
      <c r="C17" t="s">
        <v>358</v>
      </c>
    </row>
    <row r="18" spans="1:3" x14ac:dyDescent="0.25">
      <c r="A18" s="1" t="s">
        <v>359</v>
      </c>
      <c r="B18">
        <v>0.5</v>
      </c>
      <c r="C18" t="s">
        <v>360</v>
      </c>
    </row>
    <row r="19" spans="1:3" x14ac:dyDescent="0.25">
      <c r="A19" s="1" t="s">
        <v>361</v>
      </c>
      <c r="B19">
        <v>0.1</v>
      </c>
      <c r="C19" t="s">
        <v>362</v>
      </c>
    </row>
    <row r="20" spans="1:3" x14ac:dyDescent="0.25">
      <c r="A20" s="1" t="s">
        <v>363</v>
      </c>
      <c r="B20">
        <v>3</v>
      </c>
      <c r="C20" t="s">
        <v>364</v>
      </c>
    </row>
    <row r="21" spans="1:3" x14ac:dyDescent="0.25">
      <c r="A21" s="1" t="s">
        <v>365</v>
      </c>
      <c r="B21">
        <v>5</v>
      </c>
      <c r="C21" t="s">
        <v>366</v>
      </c>
    </row>
    <row r="22" spans="1:3" x14ac:dyDescent="0.25">
      <c r="A22" s="1" t="s">
        <v>367</v>
      </c>
      <c r="B22">
        <v>1.2</v>
      </c>
      <c r="C22" t="s">
        <v>368</v>
      </c>
    </row>
    <row r="23" spans="1:3" x14ac:dyDescent="0.25">
      <c r="A23" s="1" t="s">
        <v>369</v>
      </c>
      <c r="B23">
        <v>2</v>
      </c>
      <c r="C23" t="s">
        <v>370</v>
      </c>
    </row>
    <row r="24" spans="1:3" x14ac:dyDescent="0.25">
      <c r="A24" s="1" t="s">
        <v>371</v>
      </c>
      <c r="B24">
        <v>1.6</v>
      </c>
      <c r="C24" t="s">
        <v>372</v>
      </c>
    </row>
    <row r="25" spans="1:3" x14ac:dyDescent="0.25">
      <c r="A25" s="1" t="s">
        <v>373</v>
      </c>
      <c r="B25">
        <v>1.3</v>
      </c>
      <c r="C25" t="s">
        <v>374</v>
      </c>
    </row>
    <row r="26" spans="1:3" x14ac:dyDescent="0.25">
      <c r="A26" s="1" t="s">
        <v>375</v>
      </c>
      <c r="B26">
        <v>2.5</v>
      </c>
      <c r="C26" t="s">
        <v>376</v>
      </c>
    </row>
    <row r="27" spans="1:3" x14ac:dyDescent="0.25">
      <c r="A27" s="1" t="s">
        <v>377</v>
      </c>
      <c r="B27">
        <v>4.5</v>
      </c>
      <c r="C27" t="s">
        <v>378</v>
      </c>
    </row>
    <row r="28" spans="1:3" x14ac:dyDescent="0.25">
      <c r="A28" s="1" t="s">
        <v>379</v>
      </c>
      <c r="B28">
        <v>1.6</v>
      </c>
      <c r="C28" t="s">
        <v>380</v>
      </c>
    </row>
    <row r="29" spans="1:3" x14ac:dyDescent="0.25">
      <c r="A29" s="1" t="s">
        <v>381</v>
      </c>
      <c r="B29">
        <v>0.3</v>
      </c>
      <c r="C29" t="s">
        <v>382</v>
      </c>
    </row>
    <row r="30" spans="1:3" x14ac:dyDescent="0.25">
      <c r="A30" s="1" t="s">
        <v>383</v>
      </c>
      <c r="B30">
        <v>0.45</v>
      </c>
      <c r="C30" t="s">
        <v>384</v>
      </c>
    </row>
    <row r="31" spans="1:3" x14ac:dyDescent="0.25">
      <c r="A31" s="1" t="s">
        <v>385</v>
      </c>
      <c r="B31">
        <v>2</v>
      </c>
      <c r="C31" t="s">
        <v>386</v>
      </c>
    </row>
    <row r="32" spans="1:3" x14ac:dyDescent="0.25">
      <c r="A32" s="1" t="s">
        <v>387</v>
      </c>
      <c r="B32">
        <v>0.7</v>
      </c>
      <c r="C32" t="s">
        <v>388</v>
      </c>
    </row>
    <row r="33" spans="1:3" x14ac:dyDescent="0.25">
      <c r="A33" s="1" t="s">
        <v>389</v>
      </c>
      <c r="B33">
        <v>0.5</v>
      </c>
      <c r="C33" t="s">
        <v>390</v>
      </c>
    </row>
    <row r="34" spans="1:3" x14ac:dyDescent="0.25">
      <c r="A34" s="1" t="s">
        <v>391</v>
      </c>
      <c r="B34">
        <v>0.7</v>
      </c>
      <c r="C34" t="s">
        <v>392</v>
      </c>
    </row>
    <row r="35" spans="1:3" x14ac:dyDescent="0.25">
      <c r="A35" s="1" t="s">
        <v>393</v>
      </c>
      <c r="B35">
        <v>1.4</v>
      </c>
      <c r="C35" t="s">
        <v>394</v>
      </c>
    </row>
    <row r="36" spans="1:3" x14ac:dyDescent="0.25">
      <c r="A36" s="1" t="s">
        <v>395</v>
      </c>
      <c r="B36">
        <v>2.5</v>
      </c>
      <c r="C36" t="s">
        <v>396</v>
      </c>
    </row>
    <row r="37" spans="1:3" x14ac:dyDescent="0.25">
      <c r="A37" s="1" t="s">
        <v>397</v>
      </c>
      <c r="B37">
        <v>0.2</v>
      </c>
      <c r="C37" t="s">
        <v>398</v>
      </c>
    </row>
    <row r="38" spans="1:3" x14ac:dyDescent="0.25">
      <c r="A38" s="1" t="s">
        <v>399</v>
      </c>
      <c r="B38">
        <v>0.28</v>
      </c>
      <c r="C38" t="s">
        <v>400</v>
      </c>
    </row>
    <row r="39" spans="1:3" x14ac:dyDescent="0.25">
      <c r="A39" s="1" t="s">
        <v>401</v>
      </c>
      <c r="B39">
        <v>1.6</v>
      </c>
      <c r="C39" t="s">
        <v>402</v>
      </c>
    </row>
    <row r="40" spans="1:3" x14ac:dyDescent="0.25">
      <c r="A40" s="1" t="s">
        <v>403</v>
      </c>
      <c r="B40">
        <v>0.4</v>
      </c>
      <c r="C40" t="s">
        <v>404</v>
      </c>
    </row>
    <row r="41" spans="1:3" x14ac:dyDescent="0.25">
      <c r="A41" s="1" t="s">
        <v>405</v>
      </c>
      <c r="B41">
        <v>1</v>
      </c>
      <c r="C41" t="s">
        <v>406</v>
      </c>
    </row>
    <row r="42" spans="1:3" x14ac:dyDescent="0.25">
      <c r="A42" s="1" t="s">
        <v>407</v>
      </c>
      <c r="B42">
        <v>4.5</v>
      </c>
      <c r="C42" t="s">
        <v>408</v>
      </c>
    </row>
    <row r="43" spans="1:3" x14ac:dyDescent="0.25">
      <c r="A43" s="1" t="s">
        <v>409</v>
      </c>
      <c r="B43">
        <v>2.5</v>
      </c>
      <c r="C43" t="s">
        <v>410</v>
      </c>
    </row>
    <row r="44" spans="1:3" x14ac:dyDescent="0.25">
      <c r="A44" s="1" t="s">
        <v>411</v>
      </c>
      <c r="B44">
        <v>1.5</v>
      </c>
      <c r="C44" t="s">
        <v>412</v>
      </c>
    </row>
    <row r="45" spans="1:3" x14ac:dyDescent="0.25">
      <c r="A45" s="1" t="s">
        <v>413</v>
      </c>
      <c r="B45">
        <v>6</v>
      </c>
      <c r="C45" t="s">
        <v>414</v>
      </c>
    </row>
    <row r="46" spans="1:3" x14ac:dyDescent="0.25">
      <c r="A46" s="1" t="s">
        <v>415</v>
      </c>
      <c r="B46">
        <v>0.6</v>
      </c>
      <c r="C46" t="s">
        <v>416</v>
      </c>
    </row>
    <row r="47" spans="1:3" x14ac:dyDescent="0.25">
      <c r="A47" s="1" t="s">
        <v>417</v>
      </c>
      <c r="B47">
        <v>3</v>
      </c>
      <c r="C47" t="s">
        <v>418</v>
      </c>
    </row>
    <row r="48" spans="1:3" x14ac:dyDescent="0.25">
      <c r="A48" s="1" t="s">
        <v>419</v>
      </c>
      <c r="B48">
        <v>1.5</v>
      </c>
      <c r="C48" t="s">
        <v>420</v>
      </c>
    </row>
    <row r="49" spans="1:3" x14ac:dyDescent="0.25">
      <c r="A49" s="1" t="s">
        <v>421</v>
      </c>
      <c r="B49">
        <v>26</v>
      </c>
      <c r="C49" t="s">
        <v>422</v>
      </c>
    </row>
    <row r="50" spans="1:3" x14ac:dyDescent="0.25">
      <c r="A50" s="1" t="s">
        <v>423</v>
      </c>
      <c r="B50">
        <v>0.5</v>
      </c>
      <c r="C50" t="s">
        <v>424</v>
      </c>
    </row>
    <row r="51" spans="1:3" x14ac:dyDescent="0.25">
      <c r="A51" s="1" t="s">
        <v>425</v>
      </c>
      <c r="B51">
        <v>0.35</v>
      </c>
      <c r="C51" t="s">
        <v>426</v>
      </c>
    </row>
    <row r="52" spans="1:3" x14ac:dyDescent="0.25">
      <c r="A52" s="1" t="s">
        <v>427</v>
      </c>
      <c r="B52">
        <v>2</v>
      </c>
      <c r="C52" t="s">
        <v>428</v>
      </c>
    </row>
    <row r="53" spans="1:3" x14ac:dyDescent="0.25">
      <c r="A53" s="1" t="s">
        <v>429</v>
      </c>
      <c r="B53">
        <v>3</v>
      </c>
      <c r="C53" t="s">
        <v>430</v>
      </c>
    </row>
    <row r="54" spans="1:3" x14ac:dyDescent="0.25">
      <c r="A54" s="1" t="s">
        <v>431</v>
      </c>
      <c r="B54">
        <v>2</v>
      </c>
      <c r="C54" t="s">
        <v>432</v>
      </c>
    </row>
    <row r="55" spans="1:3" x14ac:dyDescent="0.25">
      <c r="A55" s="1" t="s">
        <v>433</v>
      </c>
      <c r="B55">
        <v>8</v>
      </c>
      <c r="C55" t="s">
        <v>434</v>
      </c>
    </row>
    <row r="56" spans="1:3" x14ac:dyDescent="0.25">
      <c r="A56" s="1" t="s">
        <v>435</v>
      </c>
      <c r="B56">
        <v>0.25</v>
      </c>
      <c r="C56" t="s">
        <v>436</v>
      </c>
    </row>
    <row r="57" spans="1:3" x14ac:dyDescent="0.25">
      <c r="A57" s="1" t="s">
        <v>437</v>
      </c>
      <c r="B57">
        <v>4</v>
      </c>
      <c r="C57" t="s">
        <v>438</v>
      </c>
    </row>
    <row r="58" spans="1:3" x14ac:dyDescent="0.25">
      <c r="A58" s="1" t="s">
        <v>439</v>
      </c>
      <c r="B58">
        <v>30</v>
      </c>
      <c r="C58" t="s">
        <v>440</v>
      </c>
    </row>
    <row r="59" spans="1:3" x14ac:dyDescent="0.25">
      <c r="A59" s="1" t="s">
        <v>441</v>
      </c>
      <c r="B59">
        <v>0.25</v>
      </c>
      <c r="C59" t="s">
        <v>442</v>
      </c>
    </row>
    <row r="60" spans="1:3" x14ac:dyDescent="0.25">
      <c r="A60" s="1" t="s">
        <v>443</v>
      </c>
      <c r="B60">
        <v>4</v>
      </c>
      <c r="C60" t="s">
        <v>444</v>
      </c>
    </row>
    <row r="61" spans="1:3" x14ac:dyDescent="0.25">
      <c r="A61" s="1" t="s">
        <v>445</v>
      </c>
      <c r="B61">
        <v>0.35</v>
      </c>
      <c r="C61" t="s">
        <v>446</v>
      </c>
    </row>
    <row r="62" spans="1:3" x14ac:dyDescent="0.25">
      <c r="A62" s="1" t="s">
        <v>447</v>
      </c>
      <c r="B62">
        <v>0.3</v>
      </c>
      <c r="C62" t="s">
        <v>448</v>
      </c>
    </row>
    <row r="63" spans="1:3" x14ac:dyDescent="0.25">
      <c r="A63" s="1" t="s">
        <v>449</v>
      </c>
      <c r="B63">
        <v>1.1</v>
      </c>
      <c r="C63" t="s">
        <v>450</v>
      </c>
    </row>
    <row r="64" spans="1:3" x14ac:dyDescent="0.25">
      <c r="A64" s="1" t="s">
        <v>451</v>
      </c>
      <c r="B64">
        <v>1.5</v>
      </c>
      <c r="C64" t="s">
        <v>452</v>
      </c>
    </row>
    <row r="65" spans="1:3" x14ac:dyDescent="0.25">
      <c r="A65" s="1" t="s">
        <v>453</v>
      </c>
      <c r="B65">
        <v>1.25</v>
      </c>
      <c r="C65" t="s">
        <v>454</v>
      </c>
    </row>
    <row r="66" spans="1:3" x14ac:dyDescent="0.25">
      <c r="A66" s="1" t="s">
        <v>455</v>
      </c>
      <c r="B66">
        <v>1.3</v>
      </c>
      <c r="C66" t="s">
        <v>456</v>
      </c>
    </row>
    <row r="67" spans="1:3" x14ac:dyDescent="0.25">
      <c r="A67" s="1" t="s">
        <v>457</v>
      </c>
      <c r="B67">
        <v>0.5</v>
      </c>
      <c r="C67" t="s">
        <v>458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459</v>
      </c>
      <c r="B3">
        <v>0.5</v>
      </c>
      <c r="C3" t="s">
        <v>460</v>
      </c>
    </row>
    <row r="4" spans="1:3" x14ac:dyDescent="0.25">
      <c r="A4" s="1" t="s">
        <v>461</v>
      </c>
      <c r="B4">
        <v>2</v>
      </c>
      <c r="C4" t="s">
        <v>462</v>
      </c>
    </row>
    <row r="5" spans="1:3" x14ac:dyDescent="0.25">
      <c r="A5" s="1" t="s">
        <v>463</v>
      </c>
      <c r="B5">
        <v>1.3</v>
      </c>
      <c r="C5" t="s">
        <v>464</v>
      </c>
    </row>
    <row r="6" spans="1:3" x14ac:dyDescent="0.25">
      <c r="A6" s="1" t="s">
        <v>465</v>
      </c>
      <c r="B6">
        <v>2</v>
      </c>
      <c r="C6" t="s">
        <v>466</v>
      </c>
    </row>
    <row r="7" spans="1:3" x14ac:dyDescent="0.25">
      <c r="A7" s="1" t="s">
        <v>467</v>
      </c>
      <c r="B7">
        <v>200</v>
      </c>
      <c r="C7" t="s">
        <v>468</v>
      </c>
    </row>
    <row r="8" spans="1:3" x14ac:dyDescent="0.25">
      <c r="A8" s="1" t="s">
        <v>469</v>
      </c>
      <c r="B8">
        <v>25</v>
      </c>
      <c r="C8" t="s">
        <v>470</v>
      </c>
    </row>
    <row r="9" spans="1:3" x14ac:dyDescent="0.25">
      <c r="A9" s="1" t="s">
        <v>471</v>
      </c>
      <c r="B9">
        <v>2.2</v>
      </c>
      <c r="C9" t="s">
        <v>472</v>
      </c>
    </row>
    <row r="10" spans="1:3" x14ac:dyDescent="0.25">
      <c r="A10" s="1" t="s">
        <v>473</v>
      </c>
      <c r="B10">
        <v>100</v>
      </c>
      <c r="C10" t="s">
        <v>474</v>
      </c>
    </row>
    <row r="11" spans="1:3" x14ac:dyDescent="0.25">
      <c r="A11" s="1" t="s">
        <v>475</v>
      </c>
      <c r="B11">
        <v>60</v>
      </c>
      <c r="C11" t="s">
        <v>476</v>
      </c>
    </row>
    <row r="12" spans="1:3" x14ac:dyDescent="0.25">
      <c r="A12" s="1" t="s">
        <v>477</v>
      </c>
      <c r="B12">
        <v>1</v>
      </c>
      <c r="C12" t="s">
        <v>478</v>
      </c>
    </row>
    <row r="13" spans="1:3" x14ac:dyDescent="0.25">
      <c r="A13" s="1" t="s">
        <v>479</v>
      </c>
      <c r="B13">
        <v>16</v>
      </c>
      <c r="C13" t="s">
        <v>480</v>
      </c>
    </row>
    <row r="14" spans="1:3" x14ac:dyDescent="0.25">
      <c r="A14" s="1" t="s">
        <v>481</v>
      </c>
      <c r="B14">
        <v>36</v>
      </c>
      <c r="C14" t="s">
        <v>482</v>
      </c>
    </row>
    <row r="15" spans="1:3" x14ac:dyDescent="0.25">
      <c r="A15" s="1" t="s">
        <v>483</v>
      </c>
      <c r="B15">
        <v>54</v>
      </c>
      <c r="C15" t="s">
        <v>484</v>
      </c>
    </row>
    <row r="16" spans="1:3" x14ac:dyDescent="0.25">
      <c r="A16" s="1" t="s">
        <v>485</v>
      </c>
      <c r="B16">
        <v>1.6</v>
      </c>
      <c r="C16" t="s">
        <v>486</v>
      </c>
    </row>
    <row r="17" spans="1:3" x14ac:dyDescent="0.25">
      <c r="A17" s="1" t="s">
        <v>487</v>
      </c>
      <c r="B17">
        <v>75</v>
      </c>
      <c r="C17" t="s">
        <v>488</v>
      </c>
    </row>
    <row r="18" spans="1:3" x14ac:dyDescent="0.25">
      <c r="A18" s="1" t="s">
        <v>489</v>
      </c>
      <c r="B18">
        <v>50</v>
      </c>
      <c r="C18" t="s">
        <v>490</v>
      </c>
    </row>
    <row r="19" spans="1:3" x14ac:dyDescent="0.25">
      <c r="A19" s="1" t="s">
        <v>491</v>
      </c>
      <c r="B19">
        <v>26</v>
      </c>
      <c r="C19" t="s">
        <v>492</v>
      </c>
    </row>
    <row r="20" spans="1:3" x14ac:dyDescent="0.25">
      <c r="A20" s="1" t="s">
        <v>493</v>
      </c>
      <c r="B20">
        <v>10</v>
      </c>
      <c r="C20" t="s">
        <v>494</v>
      </c>
    </row>
    <row r="21" spans="1:3" x14ac:dyDescent="0.25">
      <c r="A21" s="1" t="s">
        <v>495</v>
      </c>
      <c r="B21">
        <v>12</v>
      </c>
      <c r="C21" t="s">
        <v>496</v>
      </c>
    </row>
    <row r="22" spans="1:3" x14ac:dyDescent="0.25">
      <c r="A22" s="1" t="s">
        <v>497</v>
      </c>
      <c r="B22">
        <v>0.6</v>
      </c>
      <c r="C22" t="s">
        <v>498</v>
      </c>
    </row>
    <row r="23" spans="1:3" x14ac:dyDescent="0.25">
      <c r="A23" s="1" t="s">
        <v>499</v>
      </c>
      <c r="B23">
        <v>150</v>
      </c>
      <c r="C23" t="s">
        <v>500</v>
      </c>
    </row>
    <row r="24" spans="1:3" x14ac:dyDescent="0.25">
      <c r="A24" s="1" t="s">
        <v>501</v>
      </c>
      <c r="B24">
        <v>6</v>
      </c>
      <c r="C24" t="s">
        <v>502</v>
      </c>
    </row>
    <row r="25" spans="1:3" x14ac:dyDescent="0.25">
      <c r="A25" s="1" t="s">
        <v>503</v>
      </c>
      <c r="B25">
        <v>60</v>
      </c>
      <c r="C25" t="s">
        <v>504</v>
      </c>
    </row>
    <row r="26" spans="1:3" x14ac:dyDescent="0.25">
      <c r="A26" s="1" t="s">
        <v>505</v>
      </c>
      <c r="B26">
        <v>4</v>
      </c>
      <c r="C26" t="s">
        <v>506</v>
      </c>
    </row>
    <row r="27" spans="1:3" x14ac:dyDescent="0.25">
      <c r="A27" s="1" t="s">
        <v>507</v>
      </c>
      <c r="B27">
        <v>1.2</v>
      </c>
      <c r="C27" t="s">
        <v>508</v>
      </c>
    </row>
    <row r="28" spans="1:3" x14ac:dyDescent="0.25">
      <c r="A28" s="1" t="s">
        <v>509</v>
      </c>
      <c r="B28">
        <v>90</v>
      </c>
      <c r="C28" t="s">
        <v>510</v>
      </c>
    </row>
    <row r="29" spans="1:3" x14ac:dyDescent="0.25">
      <c r="A29" s="1" t="s">
        <v>511</v>
      </c>
      <c r="B29">
        <v>0.5</v>
      </c>
      <c r="C29" t="s">
        <v>512</v>
      </c>
    </row>
    <row r="30" spans="1:3" x14ac:dyDescent="0.25">
      <c r="A30" s="1" t="s">
        <v>513</v>
      </c>
      <c r="B30">
        <v>45</v>
      </c>
      <c r="C30" t="s">
        <v>514</v>
      </c>
    </row>
    <row r="31" spans="1:3" x14ac:dyDescent="0.25">
      <c r="A31" s="1" t="s">
        <v>515</v>
      </c>
      <c r="B31">
        <v>35</v>
      </c>
      <c r="C31" t="s">
        <v>516</v>
      </c>
    </row>
    <row r="32" spans="1:3" x14ac:dyDescent="0.25">
      <c r="A32" s="1" t="s">
        <v>517</v>
      </c>
      <c r="B32">
        <v>16</v>
      </c>
      <c r="C32" t="s">
        <v>518</v>
      </c>
    </row>
    <row r="33" spans="1:3" x14ac:dyDescent="0.25">
      <c r="A33" s="1" t="s">
        <v>519</v>
      </c>
      <c r="B33">
        <v>12</v>
      </c>
      <c r="C33" t="s">
        <v>520</v>
      </c>
    </row>
    <row r="34" spans="1:3" x14ac:dyDescent="0.25">
      <c r="A34" s="1" t="s">
        <v>521</v>
      </c>
      <c r="B34">
        <v>22</v>
      </c>
      <c r="C34" t="s">
        <v>522</v>
      </c>
    </row>
    <row r="35" spans="1:3" x14ac:dyDescent="0.25">
      <c r="A35" s="1" t="s">
        <v>523</v>
      </c>
      <c r="B35">
        <v>60</v>
      </c>
      <c r="C35" t="s">
        <v>524</v>
      </c>
    </row>
    <row r="36" spans="1:3" x14ac:dyDescent="0.25">
      <c r="A36" s="1" t="s">
        <v>525</v>
      </c>
      <c r="B36">
        <v>45</v>
      </c>
      <c r="C36" t="s">
        <v>526</v>
      </c>
    </row>
    <row r="37" spans="1:3" x14ac:dyDescent="0.25">
      <c r="A37" s="1" t="s">
        <v>527</v>
      </c>
      <c r="B37">
        <v>26</v>
      </c>
      <c r="C37" t="s">
        <v>528</v>
      </c>
    </row>
    <row r="38" spans="1:3" x14ac:dyDescent="0.25">
      <c r="A38" s="1" t="s">
        <v>529</v>
      </c>
      <c r="B38">
        <v>30</v>
      </c>
      <c r="C38" t="s">
        <v>530</v>
      </c>
    </row>
    <row r="39" spans="1:3" x14ac:dyDescent="0.25">
      <c r="A39" s="1" t="s">
        <v>531</v>
      </c>
      <c r="B39">
        <v>8</v>
      </c>
      <c r="C39" t="s">
        <v>532</v>
      </c>
    </row>
    <row r="40" spans="1:3" x14ac:dyDescent="0.25">
      <c r="A40" s="1" t="s">
        <v>533</v>
      </c>
      <c r="B40">
        <v>7</v>
      </c>
      <c r="C40" t="s">
        <v>534</v>
      </c>
    </row>
    <row r="41" spans="1:3" x14ac:dyDescent="0.25">
      <c r="A41" s="1" t="s">
        <v>535</v>
      </c>
      <c r="B41">
        <v>20</v>
      </c>
      <c r="C41" t="s">
        <v>536</v>
      </c>
    </row>
    <row r="42" spans="1:3" x14ac:dyDescent="0.25">
      <c r="A42" s="1" t="s">
        <v>537</v>
      </c>
      <c r="B42">
        <v>95</v>
      </c>
      <c r="C42" t="s">
        <v>538</v>
      </c>
    </row>
    <row r="43" spans="1:3" x14ac:dyDescent="0.25">
      <c r="A43" s="1" t="s">
        <v>539</v>
      </c>
      <c r="B43">
        <v>50</v>
      </c>
      <c r="C43" t="s">
        <v>540</v>
      </c>
    </row>
    <row r="44" spans="1:3" x14ac:dyDescent="0.25">
      <c r="A44" s="1" t="s">
        <v>541</v>
      </c>
      <c r="B44">
        <v>200</v>
      </c>
      <c r="C44" t="s">
        <v>542</v>
      </c>
    </row>
    <row r="45" spans="1:3" x14ac:dyDescent="0.25">
      <c r="A45" s="1" t="s">
        <v>543</v>
      </c>
      <c r="B45">
        <v>400</v>
      </c>
      <c r="C45" t="s">
        <v>544</v>
      </c>
    </row>
    <row r="46" spans="1:3" x14ac:dyDescent="0.25">
      <c r="A46" s="1" t="s">
        <v>545</v>
      </c>
      <c r="B46">
        <v>600</v>
      </c>
      <c r="C46" t="s">
        <v>546</v>
      </c>
    </row>
    <row r="47" spans="1:3" x14ac:dyDescent="0.25">
      <c r="A47" s="1" t="s">
        <v>547</v>
      </c>
      <c r="B47">
        <v>120</v>
      </c>
      <c r="C47" t="s">
        <v>548</v>
      </c>
    </row>
    <row r="48" spans="1:3" x14ac:dyDescent="0.25">
      <c r="A48" s="1" t="s">
        <v>549</v>
      </c>
      <c r="B48">
        <v>600</v>
      </c>
      <c r="C48" t="s">
        <v>550</v>
      </c>
    </row>
    <row r="49" spans="1:3" x14ac:dyDescent="0.25">
      <c r="A49" s="1" t="s">
        <v>551</v>
      </c>
      <c r="B49">
        <v>100</v>
      </c>
      <c r="C49" t="s">
        <v>552</v>
      </c>
    </row>
    <row r="50" spans="1:3" x14ac:dyDescent="0.25">
      <c r="A50" s="1" t="s">
        <v>553</v>
      </c>
      <c r="B50">
        <v>460</v>
      </c>
      <c r="C50" t="s">
        <v>554</v>
      </c>
    </row>
    <row r="51" spans="1:3" x14ac:dyDescent="0.25">
      <c r="A51" s="1" t="s">
        <v>555</v>
      </c>
      <c r="B51">
        <v>2</v>
      </c>
      <c r="C51" t="s">
        <v>556</v>
      </c>
    </row>
    <row r="52" spans="1:3" x14ac:dyDescent="0.25">
      <c r="A52" s="1" t="s">
        <v>557</v>
      </c>
      <c r="B52">
        <v>2</v>
      </c>
      <c r="C52" t="s">
        <v>558</v>
      </c>
    </row>
    <row r="53" spans="1:3" x14ac:dyDescent="0.25">
      <c r="A53" s="1" t="s">
        <v>559</v>
      </c>
      <c r="B53">
        <v>2</v>
      </c>
      <c r="C53" t="s">
        <v>560</v>
      </c>
    </row>
    <row r="54" spans="1:3" x14ac:dyDescent="0.25">
      <c r="A54" s="1" t="s">
        <v>561</v>
      </c>
      <c r="B54">
        <v>0.6</v>
      </c>
      <c r="C54" t="s">
        <v>562</v>
      </c>
    </row>
    <row r="55" spans="1:3" x14ac:dyDescent="0.25">
      <c r="A55" s="1" t="s">
        <v>563</v>
      </c>
      <c r="B55">
        <v>3</v>
      </c>
      <c r="C55" t="s">
        <v>564</v>
      </c>
    </row>
    <row r="56" spans="1:3" x14ac:dyDescent="0.25">
      <c r="A56" s="1" t="s">
        <v>565</v>
      </c>
      <c r="B56">
        <v>5</v>
      </c>
      <c r="C56" t="s">
        <v>566</v>
      </c>
    </row>
    <row r="57" spans="1:3" x14ac:dyDescent="0.25">
      <c r="A57" s="1" t="s">
        <v>567</v>
      </c>
      <c r="B57">
        <v>350</v>
      </c>
      <c r="C57" t="s">
        <v>568</v>
      </c>
    </row>
    <row r="58" spans="1:3" x14ac:dyDescent="0.25">
      <c r="A58" s="1" t="s">
        <v>569</v>
      </c>
      <c r="B58">
        <v>40</v>
      </c>
      <c r="C58" t="s">
        <v>570</v>
      </c>
    </row>
    <row r="59" spans="1:3" x14ac:dyDescent="0.25">
      <c r="A59" s="1" t="s">
        <v>571</v>
      </c>
      <c r="B59">
        <v>8</v>
      </c>
      <c r="C59" t="s">
        <v>572</v>
      </c>
    </row>
    <row r="60" spans="1:3" x14ac:dyDescent="0.25">
      <c r="A60" s="1" t="s">
        <v>573</v>
      </c>
      <c r="B60">
        <v>0.35</v>
      </c>
      <c r="C60" t="s">
        <v>574</v>
      </c>
    </row>
    <row r="61" spans="1:3" x14ac:dyDescent="0.25">
      <c r="A61" s="1" t="s">
        <v>575</v>
      </c>
      <c r="B61">
        <v>0.035</v>
      </c>
      <c r="C61" t="s">
        <v>576</v>
      </c>
    </row>
    <row r="62" spans="1:3" x14ac:dyDescent="0.25">
      <c r="A62" s="1" t="s">
        <v>577</v>
      </c>
      <c r="B62">
        <v>0.006</v>
      </c>
      <c r="C62" t="s">
        <v>578</v>
      </c>
    </row>
    <row r="63" spans="1:3" x14ac:dyDescent="0.25">
      <c r="A63" s="1" t="s">
        <v>579</v>
      </c>
      <c r="B63">
        <v>30</v>
      </c>
      <c r="C63" t="s">
        <v>580</v>
      </c>
    </row>
    <row r="64" spans="1:3" x14ac:dyDescent="0.25">
      <c r="A64" s="1" t="s">
        <v>581</v>
      </c>
      <c r="B64">
        <v>40</v>
      </c>
      <c r="C64" t="s">
        <v>582</v>
      </c>
    </row>
    <row r="65" spans="1:3" x14ac:dyDescent="0.25">
      <c r="A65" s="1" t="s">
        <v>583</v>
      </c>
      <c r="B65">
        <v>5</v>
      </c>
      <c r="C65" t="s">
        <v>584</v>
      </c>
    </row>
    <row r="66" spans="1:3" x14ac:dyDescent="0.25">
      <c r="A66" s="1" t="s">
        <v>585</v>
      </c>
      <c r="B66">
        <v>4</v>
      </c>
      <c r="C66" t="s">
        <v>586</v>
      </c>
    </row>
    <row r="67" spans="1:3" x14ac:dyDescent="0.25">
      <c r="A67" s="1" t="s">
        <v>587</v>
      </c>
      <c r="B67">
        <v>2.5</v>
      </c>
      <c r="C67" t="s">
        <v>588</v>
      </c>
    </row>
    <row r="68" spans="1:3" x14ac:dyDescent="0.25">
      <c r="A68" s="1" t="s">
        <v>589</v>
      </c>
      <c r="B68">
        <v>0.3</v>
      </c>
      <c r="C68" t="s">
        <v>590</v>
      </c>
    </row>
    <row r="69" spans="1:3" x14ac:dyDescent="0.25">
      <c r="A69" s="1" t="s">
        <v>591</v>
      </c>
      <c r="B69">
        <v>25</v>
      </c>
      <c r="C69" t="s">
        <v>592</v>
      </c>
    </row>
    <row r="70" spans="1:3" x14ac:dyDescent="0.25">
      <c r="A70" s="1" t="s">
        <v>593</v>
      </c>
      <c r="B70">
        <v>20</v>
      </c>
      <c r="C70" t="s">
        <v>594</v>
      </c>
    </row>
    <row r="71" spans="1:3" x14ac:dyDescent="0.25">
      <c r="A71" s="1" t="s">
        <v>595</v>
      </c>
      <c r="B71">
        <v>25</v>
      </c>
      <c r="C71" t="s">
        <v>596</v>
      </c>
    </row>
    <row r="72" spans="1:3" x14ac:dyDescent="0.25">
      <c r="A72" s="1" t="s">
        <v>597</v>
      </c>
      <c r="B72">
        <v>0.3</v>
      </c>
      <c r="C72" t="s">
        <v>598</v>
      </c>
    </row>
    <row r="73" spans="1:3" x14ac:dyDescent="0.25">
      <c r="A73" s="1" t="s">
        <v>599</v>
      </c>
      <c r="B73">
        <v>1.5</v>
      </c>
      <c r="C73" t="s">
        <v>600</v>
      </c>
    </row>
    <row r="74" spans="1:3" x14ac:dyDescent="0.25">
      <c r="A74" s="1" t="s">
        <v>601</v>
      </c>
      <c r="B74">
        <v>60</v>
      </c>
      <c r="C74" t="s">
        <v>602</v>
      </c>
    </row>
    <row r="75" spans="1:3" x14ac:dyDescent="0.25">
      <c r="A75" s="1" t="s">
        <v>603</v>
      </c>
      <c r="B75">
        <v>300</v>
      </c>
      <c r="C75" t="s">
        <v>604</v>
      </c>
    </row>
    <row r="76" spans="1:3" x14ac:dyDescent="0.25">
      <c r="A76" s="1" t="s">
        <v>605</v>
      </c>
      <c r="B76">
        <v>0.25</v>
      </c>
      <c r="C76" t="s">
        <v>606</v>
      </c>
    </row>
    <row r="77" spans="1:3" x14ac:dyDescent="0.25">
      <c r="A77" s="1" t="s">
        <v>607</v>
      </c>
      <c r="B77">
        <v>0.5</v>
      </c>
      <c r="C77" t="s">
        <v>608</v>
      </c>
    </row>
    <row r="78" spans="1:3" x14ac:dyDescent="0.25">
      <c r="A78" s="1" t="s">
        <v>609</v>
      </c>
      <c r="B78">
        <v>0.7</v>
      </c>
      <c r="C78" t="s">
        <v>610</v>
      </c>
    </row>
    <row r="79" spans="1:3" x14ac:dyDescent="0.25">
      <c r="A79" s="1" t="s">
        <v>611</v>
      </c>
      <c r="B79">
        <v>0.8</v>
      </c>
      <c r="C79" t="s">
        <v>612</v>
      </c>
    </row>
    <row r="80" spans="1:3" x14ac:dyDescent="0.25">
      <c r="A80" s="1" t="s">
        <v>613</v>
      </c>
      <c r="B80">
        <v>0.4</v>
      </c>
      <c r="C80" t="s">
        <v>614</v>
      </c>
    </row>
    <row r="81" spans="1:3" x14ac:dyDescent="0.25">
      <c r="A81" s="1" t="s">
        <v>615</v>
      </c>
      <c r="B81">
        <v>60</v>
      </c>
      <c r="C81" t="s">
        <v>616</v>
      </c>
    </row>
    <row r="82" spans="1:3" x14ac:dyDescent="0.25">
      <c r="A82" s="1" t="s">
        <v>617</v>
      </c>
      <c r="B82">
        <v>20</v>
      </c>
      <c r="C82" t="s">
        <v>618</v>
      </c>
    </row>
    <row r="83" spans="1:3" x14ac:dyDescent="0.25">
      <c r="A83" s="1" t="s">
        <v>619</v>
      </c>
      <c r="B83">
        <v>1.4</v>
      </c>
      <c r="C83" t="s">
        <v>620</v>
      </c>
    </row>
    <row r="84" spans="1:3" x14ac:dyDescent="0.25">
      <c r="A84" s="1" t="s">
        <v>621</v>
      </c>
      <c r="B84">
        <v>10</v>
      </c>
      <c r="C84" t="s">
        <v>622</v>
      </c>
    </row>
    <row r="85" spans="1:3" x14ac:dyDescent="0.25">
      <c r="A85" s="1" t="s">
        <v>623</v>
      </c>
      <c r="B85">
        <v>0.12</v>
      </c>
      <c r="C85" t="s">
        <v>624</v>
      </c>
    </row>
    <row r="86" spans="1:3" x14ac:dyDescent="0.25">
      <c r="A86" s="1" t="s">
        <v>625</v>
      </c>
      <c r="B86">
        <v>3.5</v>
      </c>
      <c r="C86" t="s">
        <v>626</v>
      </c>
    </row>
    <row r="87" spans="1:3" x14ac:dyDescent="0.25">
      <c r="A87" s="1" t="s">
        <v>627</v>
      </c>
      <c r="B87">
        <v>30</v>
      </c>
      <c r="C87" t="s">
        <v>628</v>
      </c>
    </row>
    <row r="88" spans="1:3" x14ac:dyDescent="0.25">
      <c r="A88" s="1" t="s">
        <v>629</v>
      </c>
      <c r="B88">
        <v>25</v>
      </c>
      <c r="C88" t="s">
        <v>630</v>
      </c>
    </row>
    <row r="89" spans="1:3" x14ac:dyDescent="0.25">
      <c r="A89" s="1" t="s">
        <v>631</v>
      </c>
      <c r="B89">
        <v>3</v>
      </c>
      <c r="C89" t="s">
        <v>632</v>
      </c>
    </row>
    <row r="90" spans="1:3" x14ac:dyDescent="0.25">
      <c r="A90" s="1" t="s">
        <v>633</v>
      </c>
      <c r="B90">
        <v>0.1</v>
      </c>
      <c r="C90" t="s">
        <v>634</v>
      </c>
    </row>
    <row r="91" spans="1:3" x14ac:dyDescent="0.25">
      <c r="A91" s="1" t="s">
        <v>635</v>
      </c>
      <c r="B91">
        <v>18</v>
      </c>
      <c r="C91" t="s">
        <v>636</v>
      </c>
    </row>
    <row r="92" spans="1:3" x14ac:dyDescent="0.25">
      <c r="A92" s="1" t="s">
        <v>637</v>
      </c>
      <c r="B92">
        <v>0.4</v>
      </c>
      <c r="C92" t="s">
        <v>638</v>
      </c>
    </row>
    <row r="93" spans="1:3" x14ac:dyDescent="0.25">
      <c r="A93" s="1" t="s">
        <v>639</v>
      </c>
      <c r="B93">
        <v>14</v>
      </c>
      <c r="C93" t="s">
        <v>640</v>
      </c>
    </row>
    <row r="94" spans="1:3" x14ac:dyDescent="0.25">
      <c r="A94" s="1" t="s">
        <v>641</v>
      </c>
      <c r="B94">
        <v>2</v>
      </c>
      <c r="C94" t="s">
        <v>642</v>
      </c>
    </row>
    <row r="95" spans="1:3" x14ac:dyDescent="0.25">
      <c r="A95" s="1" t="s">
        <v>643</v>
      </c>
      <c r="B95">
        <v>25</v>
      </c>
      <c r="C95" t="s">
        <v>644</v>
      </c>
    </row>
    <row r="96" spans="1:3" x14ac:dyDescent="0.25">
      <c r="A96" s="1" t="s">
        <v>645</v>
      </c>
      <c r="B96">
        <v>3</v>
      </c>
      <c r="C96" t="s">
        <v>646</v>
      </c>
    </row>
    <row r="97" spans="1:3" x14ac:dyDescent="0.25">
      <c r="A97" s="1" t="s">
        <v>647</v>
      </c>
      <c r="B97">
        <v>0.4</v>
      </c>
      <c r="C97" t="s">
        <v>648</v>
      </c>
    </row>
    <row r="98" spans="1:3" x14ac:dyDescent="0.25">
      <c r="A98" s="1" t="s">
        <v>649</v>
      </c>
      <c r="B98">
        <v>40</v>
      </c>
      <c r="C98" t="s">
        <v>650</v>
      </c>
    </row>
    <row r="99" spans="1:3" x14ac:dyDescent="0.25">
      <c r="A99" s="1" t="s">
        <v>651</v>
      </c>
      <c r="B99">
        <v>1.55</v>
      </c>
      <c r="C99" t="s">
        <v>652</v>
      </c>
    </row>
    <row r="100" spans="1:3" x14ac:dyDescent="0.25">
      <c r="A100" s="1" t="s">
        <v>653</v>
      </c>
      <c r="B100">
        <v>1.8</v>
      </c>
      <c r="C100" t="s">
        <v>654</v>
      </c>
    </row>
    <row r="101" spans="1:3" x14ac:dyDescent="0.25">
      <c r="A101" s="1" t="s">
        <v>655</v>
      </c>
      <c r="B101">
        <v>3</v>
      </c>
      <c r="C101" t="s">
        <v>656</v>
      </c>
    </row>
    <row r="102" spans="1:3" x14ac:dyDescent="0.25">
      <c r="A102" s="1" t="s">
        <v>657</v>
      </c>
      <c r="B102">
        <v>1.3</v>
      </c>
      <c r="C102" t="s">
        <v>658</v>
      </c>
    </row>
    <row r="103" spans="1:3" x14ac:dyDescent="0.25">
      <c r="A103" s="1" t="s">
        <v>659</v>
      </c>
      <c r="B103">
        <v>1.4</v>
      </c>
      <c r="C103" t="s">
        <v>660</v>
      </c>
    </row>
    <row r="104" spans="1:3" x14ac:dyDescent="0.25">
      <c r="A104" s="1" t="s">
        <v>661</v>
      </c>
      <c r="B104">
        <v>5</v>
      </c>
      <c r="C104" t="s">
        <v>662</v>
      </c>
    </row>
    <row r="105" spans="1:3" x14ac:dyDescent="0.25">
      <c r="A105" s="1" t="s">
        <v>663</v>
      </c>
      <c r="B105">
        <v>0.3</v>
      </c>
      <c r="C105" t="s">
        <v>664</v>
      </c>
    </row>
    <row r="106" spans="1:3" x14ac:dyDescent="0.25">
      <c r="A106" s="1" t="s">
        <v>665</v>
      </c>
      <c r="B106">
        <v>1.3</v>
      </c>
      <c r="C106" t="s">
        <v>666</v>
      </c>
    </row>
    <row r="107" spans="1:3" x14ac:dyDescent="0.25">
      <c r="A107" s="1" t="s">
        <v>667</v>
      </c>
      <c r="B107">
        <v>1.6</v>
      </c>
      <c r="C107" t="s">
        <v>668</v>
      </c>
    </row>
    <row r="108" spans="1:3" x14ac:dyDescent="0.25">
      <c r="A108" s="1" t="s">
        <v>669</v>
      </c>
      <c r="B108">
        <v>1.8</v>
      </c>
      <c r="C108" t="s">
        <v>670</v>
      </c>
    </row>
    <row r="109" spans="1:3" x14ac:dyDescent="0.25">
      <c r="A109" s="1" t="s">
        <v>671</v>
      </c>
      <c r="B109">
        <v>0.4</v>
      </c>
      <c r="C109" t="s">
        <v>672</v>
      </c>
    </row>
    <row r="110" spans="1:3" x14ac:dyDescent="0.25">
      <c r="A110" s="1" t="s">
        <v>673</v>
      </c>
      <c r="B110">
        <v>0.8</v>
      </c>
      <c r="C110" t="s">
        <v>674</v>
      </c>
    </row>
    <row r="111" spans="1:3" x14ac:dyDescent="0.25">
      <c r="A111" s="1" t="s">
        <v>675</v>
      </c>
      <c r="B111">
        <v>0.6</v>
      </c>
      <c r="C111" t="s">
        <v>676</v>
      </c>
    </row>
    <row r="112" spans="1:3" x14ac:dyDescent="0.25">
      <c r="A112" s="1" t="s">
        <v>677</v>
      </c>
      <c r="B112">
        <v>14</v>
      </c>
      <c r="C112" t="s">
        <v>678</v>
      </c>
    </row>
    <row r="113" spans="1:3" x14ac:dyDescent="0.25">
      <c r="A113" s="1" t="s">
        <v>679</v>
      </c>
      <c r="B113">
        <v>2</v>
      </c>
      <c r="C113" t="s">
        <v>680</v>
      </c>
    </row>
    <row r="114" spans="1:3" x14ac:dyDescent="0.25">
      <c r="A114" s="1" t="s">
        <v>681</v>
      </c>
      <c r="B114">
        <v>0.2</v>
      </c>
      <c r="C114" t="s">
        <v>682</v>
      </c>
    </row>
    <row r="115" spans="1:3" x14ac:dyDescent="0.25">
      <c r="A115" s="1" t="s">
        <v>683</v>
      </c>
      <c r="B115">
        <v>0.1</v>
      </c>
      <c r="C115" t="s">
        <v>684</v>
      </c>
    </row>
    <row r="116" spans="1:3" x14ac:dyDescent="0.25">
      <c r="A116" s="1" t="s">
        <v>685</v>
      </c>
      <c r="B116">
        <v>0.1</v>
      </c>
      <c r="C116" t="s">
        <v>686</v>
      </c>
    </row>
    <row r="117" spans="1:3" x14ac:dyDescent="0.25">
      <c r="A117" s="1" t="s">
        <v>687</v>
      </c>
      <c r="B117">
        <v>1.5</v>
      </c>
      <c r="C117" t="s">
        <v>688</v>
      </c>
    </row>
    <row r="118" spans="1:3" x14ac:dyDescent="0.25">
      <c r="A118" s="1" t="s">
        <v>689</v>
      </c>
      <c r="B118">
        <v>8</v>
      </c>
      <c r="C118" t="s">
        <v>690</v>
      </c>
    </row>
    <row r="119" spans="1:3" x14ac:dyDescent="0.25">
      <c r="A119" s="1" t="s">
        <v>691</v>
      </c>
      <c r="B119">
        <v>0.1</v>
      </c>
      <c r="C119" t="s">
        <v>692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693</v>
      </c>
      <c r="B3">
        <v>0.45</v>
      </c>
      <c r="C3" t="s">
        <v>694</v>
      </c>
    </row>
    <row r="4" spans="1:3" x14ac:dyDescent="0.25">
      <c r="A4" s="1" t="s">
        <v>695</v>
      </c>
      <c r="B4">
        <v>0.8</v>
      </c>
      <c r="C4" t="s">
        <v>696</v>
      </c>
    </row>
    <row r="5" spans="1:3" x14ac:dyDescent="0.25">
      <c r="A5" s="1" t="s">
        <v>697</v>
      </c>
      <c r="B5">
        <v>0.5</v>
      </c>
      <c r="C5" t="s">
        <v>698</v>
      </c>
    </row>
    <row r="6" spans="1:3" x14ac:dyDescent="0.25">
      <c r="A6" s="1" t="s">
        <v>699</v>
      </c>
      <c r="B6">
        <v>0.5</v>
      </c>
      <c r="C6" t="s">
        <v>700</v>
      </c>
    </row>
    <row r="7" spans="1:3" x14ac:dyDescent="0.25">
      <c r="A7" s="1" t="s">
        <v>701</v>
      </c>
      <c r="B7">
        <v>1.5</v>
      </c>
      <c r="C7" t="s">
        <v>702</v>
      </c>
    </row>
    <row r="8" spans="1:3" x14ac:dyDescent="0.25">
      <c r="A8" s="1" t="s">
        <v>703</v>
      </c>
      <c r="B8">
        <v>1.2</v>
      </c>
      <c r="C8" t="s">
        <v>704</v>
      </c>
    </row>
    <row r="9" spans="1:3" x14ac:dyDescent="0.25">
      <c r="A9" s="1" t="s">
        <v>705</v>
      </c>
      <c r="B9">
        <v>1.7</v>
      </c>
      <c r="C9" t="s">
        <v>706</v>
      </c>
    </row>
    <row r="10" spans="1:3" x14ac:dyDescent="0.25">
      <c r="A10" s="1" t="s">
        <v>707</v>
      </c>
      <c r="B10">
        <v>7</v>
      </c>
      <c r="C10" t="s">
        <v>708</v>
      </c>
    </row>
    <row r="11" spans="1:3" x14ac:dyDescent="0.25">
      <c r="A11" s="1" t="s">
        <v>709</v>
      </c>
      <c r="B11">
        <v>16</v>
      </c>
      <c r="C11" t="s">
        <v>710</v>
      </c>
    </row>
    <row r="12" spans="1:3" x14ac:dyDescent="0.25">
      <c r="A12" s="1" t="s">
        <v>711</v>
      </c>
      <c r="B12">
        <v>25</v>
      </c>
      <c r="C12" t="s">
        <v>712</v>
      </c>
    </row>
    <row r="13" spans="1:3" x14ac:dyDescent="0.25">
      <c r="A13" s="1" t="s">
        <v>713</v>
      </c>
      <c r="B13">
        <v>11</v>
      </c>
      <c r="C13" t="s">
        <v>714</v>
      </c>
    </row>
    <row r="14" spans="1:3" x14ac:dyDescent="0.25">
      <c r="A14" s="1" t="s">
        <v>715</v>
      </c>
      <c r="B14">
        <v>10</v>
      </c>
      <c r="C14" t="s">
        <v>716</v>
      </c>
    </row>
    <row r="15" spans="1:3" x14ac:dyDescent="0.25">
      <c r="A15" s="1" t="s">
        <v>717</v>
      </c>
      <c r="B15">
        <v>1.2</v>
      </c>
      <c r="C15" t="s">
        <v>718</v>
      </c>
    </row>
    <row r="16" spans="1:3" x14ac:dyDescent="0.25">
      <c r="A16" s="1" t="s">
        <v>719</v>
      </c>
      <c r="B16">
        <v>1</v>
      </c>
      <c r="C16" t="s">
        <v>720</v>
      </c>
    </row>
    <row r="17" spans="1:3" x14ac:dyDescent="0.25">
      <c r="A17" s="1" t="s">
        <v>721</v>
      </c>
      <c r="B17">
        <v>2.6</v>
      </c>
      <c r="C17" t="s">
        <v>722</v>
      </c>
    </row>
    <row r="18" spans="1:3" x14ac:dyDescent="0.25">
      <c r="A18" s="1" t="s">
        <v>723</v>
      </c>
      <c r="B18">
        <v>1.4</v>
      </c>
      <c r="C18" t="s">
        <v>724</v>
      </c>
    </row>
    <row r="19" spans="1:3" x14ac:dyDescent="0.25">
      <c r="A19" s="1" t="s">
        <v>725</v>
      </c>
      <c r="B19">
        <v>16</v>
      </c>
      <c r="C19" t="s">
        <v>726</v>
      </c>
    </row>
    <row r="20" spans="1:3" x14ac:dyDescent="0.25">
      <c r="A20" s="1" t="s">
        <v>727</v>
      </c>
      <c r="B20">
        <v>2.6</v>
      </c>
      <c r="C20" t="s">
        <v>728</v>
      </c>
    </row>
    <row r="21" spans="1:3" x14ac:dyDescent="0.25">
      <c r="A21" s="1" t="s">
        <v>729</v>
      </c>
      <c r="B21">
        <v>4</v>
      </c>
      <c r="C21" t="s">
        <v>730</v>
      </c>
    </row>
    <row r="22" spans="1:3" x14ac:dyDescent="0.25">
      <c r="A22" s="1" t="s">
        <v>731</v>
      </c>
      <c r="B22">
        <v>3</v>
      </c>
      <c r="C22" t="s">
        <v>732</v>
      </c>
    </row>
    <row r="23" spans="1:3" x14ac:dyDescent="0.25">
      <c r="A23" s="1" t="s">
        <v>733</v>
      </c>
      <c r="B23">
        <v>1.5</v>
      </c>
      <c r="C23" t="s">
        <v>734</v>
      </c>
    </row>
    <row r="24" spans="1:3" x14ac:dyDescent="0.25">
      <c r="A24" s="1" t="s">
        <v>735</v>
      </c>
      <c r="B24">
        <v>1.7</v>
      </c>
      <c r="C24" t="s">
        <v>736</v>
      </c>
    </row>
    <row r="25" spans="1:3" x14ac:dyDescent="0.25">
      <c r="A25" s="1" t="s">
        <v>737</v>
      </c>
      <c r="B25">
        <v>0.7</v>
      </c>
      <c r="C25" t="s">
        <v>738</v>
      </c>
    </row>
    <row r="26" spans="1:3" x14ac:dyDescent="0.25">
      <c r="A26" s="1" t="s">
        <v>739</v>
      </c>
      <c r="B26">
        <v>3</v>
      </c>
      <c r="C26" t="s">
        <v>740</v>
      </c>
    </row>
    <row r="27" spans="1:3" x14ac:dyDescent="0.25">
      <c r="A27" s="1" t="s">
        <v>741</v>
      </c>
      <c r="B27">
        <v>3</v>
      </c>
      <c r="C27" t="s">
        <v>742</v>
      </c>
    </row>
    <row r="28" spans="1:3" x14ac:dyDescent="0.25">
      <c r="A28" s="1" t="s">
        <v>743</v>
      </c>
      <c r="B28">
        <v>5</v>
      </c>
      <c r="C28" t="s">
        <v>744</v>
      </c>
    </row>
    <row r="29" spans="1:3" x14ac:dyDescent="0.25">
      <c r="A29" s="1" t="s">
        <v>745</v>
      </c>
      <c r="B29">
        <v>1.1</v>
      </c>
      <c r="C29" t="s">
        <v>746</v>
      </c>
    </row>
    <row r="30" spans="1:3" x14ac:dyDescent="0.25">
      <c r="A30" s="1" t="s">
        <v>747</v>
      </c>
      <c r="B30">
        <v>6</v>
      </c>
      <c r="C30" t="s">
        <v>748</v>
      </c>
    </row>
    <row r="31" spans="1:3" x14ac:dyDescent="0.25">
      <c r="A31" s="1" t="s">
        <v>749</v>
      </c>
      <c r="B31">
        <v>0.16</v>
      </c>
      <c r="C31" t="s">
        <v>750</v>
      </c>
    </row>
    <row r="32" spans="1:3" x14ac:dyDescent="0.25">
      <c r="A32" s="1" t="s">
        <v>751</v>
      </c>
      <c r="B32">
        <v>3</v>
      </c>
      <c r="C32" t="s">
        <v>752</v>
      </c>
    </row>
    <row r="33" spans="1:3" x14ac:dyDescent="0.25">
      <c r="A33" s="1" t="s">
        <v>753</v>
      </c>
      <c r="B33">
        <v>1.3</v>
      </c>
      <c r="C33" t="s">
        <v>754</v>
      </c>
    </row>
    <row r="34" spans="1:3" x14ac:dyDescent="0.25">
      <c r="A34" s="1" t="s">
        <v>755</v>
      </c>
      <c r="B34">
        <v>22</v>
      </c>
      <c r="C34" t="s">
        <v>756</v>
      </c>
    </row>
    <row r="35" spans="1:3" x14ac:dyDescent="0.25">
      <c r="A35" s="1" t="s">
        <v>757</v>
      </c>
      <c r="B35">
        <v>2.5</v>
      </c>
      <c r="C35" t="s">
        <v>758</v>
      </c>
    </row>
    <row r="36" spans="1:3" x14ac:dyDescent="0.25">
      <c r="A36" s="1" t="s">
        <v>759</v>
      </c>
      <c r="B36">
        <v>0.5</v>
      </c>
      <c r="C36" t="s">
        <v>760</v>
      </c>
    </row>
    <row r="37" spans="1:3" x14ac:dyDescent="0.25">
      <c r="A37" s="1" t="s">
        <v>761</v>
      </c>
      <c r="B37">
        <v>20</v>
      </c>
      <c r="C37" t="s">
        <v>762</v>
      </c>
    </row>
    <row r="38" spans="1:3" x14ac:dyDescent="0.25">
      <c r="A38" s="1" t="s">
        <v>763</v>
      </c>
      <c r="B38">
        <v>1.4</v>
      </c>
      <c r="C38" t="s">
        <v>764</v>
      </c>
    </row>
    <row r="39" spans="1:3" x14ac:dyDescent="0.25">
      <c r="A39" s="1" t="s">
        <v>765</v>
      </c>
      <c r="B39">
        <v>2.6</v>
      </c>
      <c r="C39" t="s">
        <v>766</v>
      </c>
    </row>
    <row r="40" spans="1:3" x14ac:dyDescent="0.25">
      <c r="A40" s="1" t="s">
        <v>767</v>
      </c>
      <c r="B40">
        <v>2</v>
      </c>
      <c r="C40" t="s">
        <v>768</v>
      </c>
    </row>
    <row r="41" spans="1:3" x14ac:dyDescent="0.25">
      <c r="A41" s="1" t="s">
        <v>769</v>
      </c>
      <c r="B41">
        <v>9</v>
      </c>
      <c r="C41" t="s">
        <v>770</v>
      </c>
    </row>
    <row r="42" spans="1:3" x14ac:dyDescent="0.25">
      <c r="A42" s="1" t="s">
        <v>771</v>
      </c>
      <c r="B42">
        <v>12</v>
      </c>
      <c r="C42" t="s">
        <v>772</v>
      </c>
    </row>
    <row r="43" spans="1:3" x14ac:dyDescent="0.25">
      <c r="A43" s="1" t="s">
        <v>773</v>
      </c>
      <c r="B43">
        <v>0.8</v>
      </c>
      <c r="C43" t="s">
        <v>774</v>
      </c>
    </row>
    <row r="44" spans="1:3" x14ac:dyDescent="0.25">
      <c r="A44" s="1" t="s">
        <v>775</v>
      </c>
      <c r="B44">
        <v>3</v>
      </c>
      <c r="C44" t="s">
        <v>776</v>
      </c>
    </row>
    <row r="45" spans="1:3" x14ac:dyDescent="0.25">
      <c r="A45" s="1" t="s">
        <v>777</v>
      </c>
      <c r="B45">
        <v>0.3</v>
      </c>
      <c r="C45" t="s">
        <v>778</v>
      </c>
    </row>
    <row r="46" spans="1:3" x14ac:dyDescent="0.25">
      <c r="A46" s="1" t="s">
        <v>779</v>
      </c>
      <c r="B46">
        <v>7</v>
      </c>
      <c r="C46" t="s">
        <v>780</v>
      </c>
    </row>
    <row r="47" spans="1:3" x14ac:dyDescent="0.25">
      <c r="A47" s="1" t="s">
        <v>781</v>
      </c>
      <c r="B47">
        <v>0.2</v>
      </c>
      <c r="C47" t="s">
        <v>782</v>
      </c>
    </row>
    <row r="48" spans="1:3" x14ac:dyDescent="0.25">
      <c r="A48" s="1" t="s">
        <v>783</v>
      </c>
      <c r="B48">
        <v>3.5</v>
      </c>
      <c r="C48" t="s">
        <v>784</v>
      </c>
    </row>
    <row r="49" spans="1:3" x14ac:dyDescent="0.25">
      <c r="A49" s="1" t="s">
        <v>785</v>
      </c>
      <c r="B49">
        <v>16</v>
      </c>
      <c r="C49" t="s">
        <v>786</v>
      </c>
    </row>
    <row r="50" spans="1:3" x14ac:dyDescent="0.25">
      <c r="A50" s="1" t="s">
        <v>787</v>
      </c>
      <c r="B50">
        <v>1</v>
      </c>
      <c r="C50" t="s">
        <v>788</v>
      </c>
    </row>
    <row r="51" spans="1:3" x14ac:dyDescent="0.25">
      <c r="A51" s="1" t="s">
        <v>789</v>
      </c>
      <c r="B51">
        <v>10</v>
      </c>
      <c r="C51" t="s">
        <v>790</v>
      </c>
    </row>
    <row r="52" spans="1:3" x14ac:dyDescent="0.25">
      <c r="A52" s="1" t="s">
        <v>791</v>
      </c>
      <c r="B52">
        <v>2.2</v>
      </c>
      <c r="C52" t="s">
        <v>792</v>
      </c>
    </row>
    <row r="53" spans="1:3" x14ac:dyDescent="0.25">
      <c r="A53" s="1" t="s">
        <v>793</v>
      </c>
      <c r="B53">
        <v>4</v>
      </c>
      <c r="C53" t="s">
        <v>794</v>
      </c>
    </row>
    <row r="54" spans="1:3" x14ac:dyDescent="0.25">
      <c r="A54" s="1" t="s">
        <v>795</v>
      </c>
      <c r="B54">
        <v>14</v>
      </c>
      <c r="C54" t="s">
        <v>796</v>
      </c>
    </row>
    <row r="55" spans="1:3" x14ac:dyDescent="0.25">
      <c r="A55" s="1" t="s">
        <v>797</v>
      </c>
      <c r="B55">
        <v>8</v>
      </c>
      <c r="C55" t="s">
        <v>798</v>
      </c>
    </row>
    <row r="56" spans="1:3" x14ac:dyDescent="0.25">
      <c r="A56" s="1" t="s">
        <v>799</v>
      </c>
      <c r="B56">
        <v>28</v>
      </c>
      <c r="C56" t="s">
        <v>800</v>
      </c>
    </row>
    <row r="57" spans="1:3" x14ac:dyDescent="0.25">
      <c r="A57" s="1" t="s">
        <v>801</v>
      </c>
      <c r="B57">
        <v>6</v>
      </c>
      <c r="C57" t="s">
        <v>802</v>
      </c>
    </row>
    <row r="58" spans="1:3" x14ac:dyDescent="0.25">
      <c r="A58" s="1" t="s">
        <v>803</v>
      </c>
      <c r="B58">
        <v>0.5</v>
      </c>
      <c r="C58" t="s">
        <v>804</v>
      </c>
    </row>
    <row r="59" spans="1:3" x14ac:dyDescent="0.25">
      <c r="A59" s="1" t="s">
        <v>805</v>
      </c>
      <c r="B59">
        <v>45</v>
      </c>
      <c r="C59" t="s">
        <v>806</v>
      </c>
    </row>
    <row r="60" spans="1:3" x14ac:dyDescent="0.25">
      <c r="A60" s="1" t="s">
        <v>807</v>
      </c>
      <c r="B60">
        <v>0.4</v>
      </c>
      <c r="C60" t="s">
        <v>808</v>
      </c>
    </row>
    <row r="61" spans="1:3" x14ac:dyDescent="0.25">
      <c r="A61" s="1" t="s">
        <v>809</v>
      </c>
      <c r="B61">
        <v>0.35</v>
      </c>
      <c r="C61" t="s">
        <v>810</v>
      </c>
    </row>
    <row r="62" spans="1:3" x14ac:dyDescent="0.25">
      <c r="A62" s="1" t="s">
        <v>811</v>
      </c>
      <c r="B62">
        <v>1</v>
      </c>
      <c r="C62" t="s">
        <v>812</v>
      </c>
    </row>
    <row r="63" spans="1:3" x14ac:dyDescent="0.25">
      <c r="A63" s="1" t="s">
        <v>813</v>
      </c>
      <c r="B63">
        <v>24</v>
      </c>
      <c r="C63" t="s">
        <v>814</v>
      </c>
    </row>
    <row r="64" spans="1:3" x14ac:dyDescent="0.25">
      <c r="A64" s="1" t="s">
        <v>815</v>
      </c>
      <c r="B64">
        <v>1.2</v>
      </c>
      <c r="C64" t="s">
        <v>816</v>
      </c>
    </row>
    <row r="65" spans="1:3" x14ac:dyDescent="0.25">
      <c r="A65" s="1" t="s">
        <v>817</v>
      </c>
      <c r="B65">
        <v>0.6</v>
      </c>
      <c r="C65" t="s">
        <v>818</v>
      </c>
    </row>
    <row r="66" spans="1:3" x14ac:dyDescent="0.25">
      <c r="A66" s="1" t="s">
        <v>819</v>
      </c>
      <c r="B66">
        <v>1.8</v>
      </c>
      <c r="C66" t="s">
        <v>820</v>
      </c>
    </row>
    <row r="67" spans="1:3" x14ac:dyDescent="0.25">
      <c r="A67" s="1" t="s">
        <v>821</v>
      </c>
      <c r="B67">
        <v>17</v>
      </c>
      <c r="C67" t="s">
        <v>822</v>
      </c>
    </row>
    <row r="68" spans="1:3" x14ac:dyDescent="0.25">
      <c r="A68" s="1" t="s">
        <v>823</v>
      </c>
      <c r="B68">
        <v>1.5</v>
      </c>
      <c r="C68" t="s">
        <v>824</v>
      </c>
    </row>
    <row r="69" spans="1:3" x14ac:dyDescent="0.25">
      <c r="A69" s="1" t="s">
        <v>825</v>
      </c>
      <c r="B69">
        <v>1.5</v>
      </c>
      <c r="C69" t="s">
        <v>826</v>
      </c>
    </row>
    <row r="70" spans="1:3" x14ac:dyDescent="0.25">
      <c r="A70" s="1" t="s">
        <v>827</v>
      </c>
      <c r="B70">
        <v>0.55</v>
      </c>
      <c r="C70" t="s">
        <v>828</v>
      </c>
    </row>
    <row r="71" spans="1:3" x14ac:dyDescent="0.25">
      <c r="A71" s="1" t="s">
        <v>829</v>
      </c>
      <c r="B71">
        <v>26</v>
      </c>
      <c r="C71" t="s">
        <v>830</v>
      </c>
    </row>
    <row r="72" spans="1:3" x14ac:dyDescent="0.25">
      <c r="A72" s="1" t="s">
        <v>831</v>
      </c>
      <c r="B72">
        <v>1.2</v>
      </c>
      <c r="C72" t="s">
        <v>832</v>
      </c>
    </row>
    <row r="73" spans="1:3" x14ac:dyDescent="0.25">
      <c r="A73" s="1" t="s">
        <v>833</v>
      </c>
      <c r="B73">
        <v>1.5</v>
      </c>
      <c r="C73" t="s">
        <v>834</v>
      </c>
    </row>
    <row r="74" spans="1:3" x14ac:dyDescent="0.25">
      <c r="A74" s="1" t="s">
        <v>835</v>
      </c>
      <c r="B74">
        <v>10</v>
      </c>
      <c r="C74" t="s">
        <v>836</v>
      </c>
    </row>
    <row r="75" spans="1:3" x14ac:dyDescent="0.25">
      <c r="A75" s="1" t="s">
        <v>837</v>
      </c>
      <c r="B75">
        <v>4</v>
      </c>
      <c r="C75" t="s">
        <v>838</v>
      </c>
    </row>
    <row r="76" spans="1:3" x14ac:dyDescent="0.25">
      <c r="A76" s="1" t="s">
        <v>839</v>
      </c>
      <c r="B76">
        <v>40</v>
      </c>
      <c r="C76" t="s">
        <v>840</v>
      </c>
    </row>
    <row r="77" spans="1:3" x14ac:dyDescent="0.25">
      <c r="A77" s="1" t="s">
        <v>841</v>
      </c>
      <c r="B77">
        <v>0.35</v>
      </c>
      <c r="C77" t="s">
        <v>842</v>
      </c>
    </row>
    <row r="78" spans="1:3" x14ac:dyDescent="0.25">
      <c r="A78" s="1" t="s">
        <v>843</v>
      </c>
      <c r="B78">
        <v>0.25</v>
      </c>
      <c r="C78" t="s">
        <v>844</v>
      </c>
    </row>
    <row r="79" spans="1:3" x14ac:dyDescent="0.25">
      <c r="A79" s="1" t="s">
        <v>845</v>
      </c>
      <c r="B79">
        <v>0.25</v>
      </c>
      <c r="C79" t="s">
        <v>846</v>
      </c>
    </row>
    <row r="80" spans="1:3" x14ac:dyDescent="0.25">
      <c r="A80" s="1" t="s">
        <v>847</v>
      </c>
      <c r="B80">
        <v>25</v>
      </c>
      <c r="C80" t="s">
        <v>848</v>
      </c>
    </row>
    <row r="81" spans="1:3" x14ac:dyDescent="0.25">
      <c r="A81" s="1" t="s">
        <v>849</v>
      </c>
      <c r="B81">
        <v>3.8</v>
      </c>
      <c r="C81" t="s">
        <v>850</v>
      </c>
    </row>
    <row r="82" spans="1:3" x14ac:dyDescent="0.25">
      <c r="A82" s="1" t="s">
        <v>851</v>
      </c>
      <c r="B82">
        <v>2.6</v>
      </c>
      <c r="C82" t="s">
        <v>852</v>
      </c>
    </row>
    <row r="83" spans="1:3" x14ac:dyDescent="0.25">
      <c r="A83" s="1" t="s">
        <v>853</v>
      </c>
      <c r="B83">
        <v>2.6</v>
      </c>
      <c r="C83" t="s">
        <v>854</v>
      </c>
    </row>
    <row r="84" spans="1:3" x14ac:dyDescent="0.25">
      <c r="A84" s="1" t="s">
        <v>855</v>
      </c>
      <c r="B84">
        <v>2.1</v>
      </c>
      <c r="C84" t="s">
        <v>856</v>
      </c>
    </row>
    <row r="85" spans="1:3" x14ac:dyDescent="0.25">
      <c r="A85" s="1" t="s">
        <v>857</v>
      </c>
      <c r="B85">
        <v>1.6</v>
      </c>
      <c r="C85" t="s">
        <v>858</v>
      </c>
    </row>
    <row r="86" spans="1:3" x14ac:dyDescent="0.25">
      <c r="A86" s="1" t="s">
        <v>859</v>
      </c>
      <c r="B86">
        <v>1.2</v>
      </c>
      <c r="C86" t="s">
        <v>860</v>
      </c>
    </row>
    <row r="87" spans="1:3" x14ac:dyDescent="0.25">
      <c r="A87" s="1" t="s">
        <v>861</v>
      </c>
      <c r="B87">
        <v>1</v>
      </c>
      <c r="C87" t="s">
        <v>862</v>
      </c>
    </row>
    <row r="88" spans="1:3" x14ac:dyDescent="0.25">
      <c r="A88" s="1" t="s">
        <v>863</v>
      </c>
      <c r="B88">
        <v>0.75</v>
      </c>
      <c r="C88" t="s">
        <v>852</v>
      </c>
    </row>
    <row r="89" spans="1:3" x14ac:dyDescent="0.25">
      <c r="A89" s="1" t="s">
        <v>864</v>
      </c>
      <c r="B89">
        <v>30</v>
      </c>
      <c r="C89" t="s">
        <v>865</v>
      </c>
    </row>
    <row r="90" spans="1:3" x14ac:dyDescent="0.25">
      <c r="A90" s="1" t="s">
        <v>866</v>
      </c>
      <c r="B90">
        <v>26</v>
      </c>
      <c r="C90" t="s">
        <v>867</v>
      </c>
    </row>
    <row r="91" spans="1:3" x14ac:dyDescent="0.25">
      <c r="A91" s="1" t="s">
        <v>868</v>
      </c>
      <c r="B91">
        <v>2.6</v>
      </c>
      <c r="C91" t="s">
        <v>869</v>
      </c>
    </row>
    <row r="92" spans="1:3" x14ac:dyDescent="0.25">
      <c r="A92" s="1" t="s">
        <v>870</v>
      </c>
      <c r="B92">
        <v>0.9</v>
      </c>
      <c r="C92" t="s">
        <v>871</v>
      </c>
    </row>
    <row r="93" spans="1:3" x14ac:dyDescent="0.25">
      <c r="A93" s="1" t="s">
        <v>872</v>
      </c>
      <c r="B93">
        <v>1.4</v>
      </c>
      <c r="C93" t="s">
        <v>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874</v>
      </c>
    </row>
    <row r="2" spans="1:1" x14ac:dyDescent="0.25">
      <c r="A2" t="s">
        <v>875</v>
      </c>
    </row>
    <row r="4" spans="1:2" x14ac:dyDescent="0.25">
      <c r="A4" t="s">
        <v>876</v>
      </c>
      <c r="B4" s="7">
        <v>0</v>
      </c>
    </row>
    <row r="5" spans="1:2" x14ac:dyDescent="0.25">
      <c r="A5" t="s">
        <v>877</v>
      </c>
      <c r="B5" s="7">
        <v>1</v>
      </c>
    </row>
    <row r="6" spans="1:2" x14ac:dyDescent="0.25">
      <c r="A6" t="s">
        <v>878</v>
      </c>
      <c r="B6" s="7" t="s">
        <v>177</v>
      </c>
    </row>
    <row r="7" spans="1:2" x14ac:dyDescent="0.25">
      <c r="A7" t="s">
        <v>879</v>
      </c>
      <c r="B7" s="7">
        <v>12</v>
      </c>
    </row>
    <row r="8" spans="1:2" x14ac:dyDescent="0.25">
      <c r="A8" t="s">
        <v>880</v>
      </c>
      <c r="B8" s="7">
        <v>1</v>
      </c>
    </row>
    <row r="9" spans="4:29" x14ac:dyDescent="0.25">
      <c r="D9" s="8" t="s">
        <v>881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882</v>
      </c>
    </row>
    <row r="10" spans="4:29" x14ac:dyDescent="0.25">
      <c r="D10" s="9" t="s">
        <v>883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884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885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886</v>
      </c>
    </row>
    <row r="2" spans="1:1" x14ac:dyDescent="0.25">
      <c r="A2" t="s">
        <v>887</v>
      </c>
    </row>
    <row r="4" spans="1:2" x14ac:dyDescent="0.25">
      <c r="A4" t="s">
        <v>888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889</v>
      </c>
      <c r="E6" s="3" t="s">
        <v>890</v>
      </c>
      <c r="F6" s="3" t="s">
        <v>891</v>
      </c>
      <c r="G6" s="3" t="s">
        <v>892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893</v>
      </c>
    </row>
    <row r="2" spans="1:1" x14ac:dyDescent="0.25">
      <c r="A2" t="s">
        <v>894</v>
      </c>
    </row>
    <row r="4" spans="1:2" x14ac:dyDescent="0.25">
      <c r="A4" t="s">
        <v>895</v>
      </c>
      <c r="B4" s="7">
        <v>100</v>
      </c>
    </row>
    <row r="5" spans="1:2" x14ac:dyDescent="0.25">
      <c r="A5" t="s">
        <v>896</v>
      </c>
      <c r="B5" s="7">
        <v>420</v>
      </c>
    </row>
    <row r="6" spans="1:2" x14ac:dyDescent="0.25">
      <c r="A6" t="s">
        <v>897</v>
      </c>
      <c r="B6" s="7">
        <v>600</v>
      </c>
    </row>
    <row r="7" spans="1:2" x14ac:dyDescent="0.25">
      <c r="A7" t="s">
        <v>898</v>
      </c>
      <c r="B7" s="7">
        <v>1</v>
      </c>
    </row>
    <row r="8" spans="1:2" x14ac:dyDescent="0.25">
      <c r="A8" t="s">
        <v>899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225</v>
      </c>
      <c r="E10" s="3" t="s">
        <v>226</v>
      </c>
      <c r="F10" s="3" t="s">
        <v>227</v>
      </c>
      <c r="G10" s="3" t="s">
        <v>228</v>
      </c>
      <c r="H10" s="3" t="s">
        <v>229</v>
      </c>
      <c r="I10" s="3" t="s">
        <v>230</v>
      </c>
      <c r="J10" s="3" t="s">
        <v>231</v>
      </c>
      <c r="K10" s="3" t="s">
        <v>232</v>
      </c>
      <c r="L10" s="3" t="s">
        <v>233</v>
      </c>
      <c r="M10" s="3" t="s">
        <v>234</v>
      </c>
      <c r="N10" s="3" t="s">
        <v>900</v>
      </c>
    </row>
    <row r="11" spans="1:14" x14ac:dyDescent="0.25">
      <c r="A11" t="s">
        <v>248</v>
      </c>
      <c r="B11" t="s">
        <v>247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248</v>
      </c>
      <c r="B12" t="s">
        <v>250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248</v>
      </c>
      <c r="B13" t="s">
        <v>252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248</v>
      </c>
      <c r="B14" t="s">
        <v>254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248</v>
      </c>
      <c r="B15" t="s">
        <v>13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248</v>
      </c>
      <c r="B16" t="s">
        <v>257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248</v>
      </c>
      <c r="B17" t="s">
        <v>259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248</v>
      </c>
      <c r="B18" t="s">
        <v>261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248</v>
      </c>
      <c r="B19" t="s">
        <v>263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266</v>
      </c>
      <c r="B20" t="s">
        <v>265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266</v>
      </c>
      <c r="B21" t="s">
        <v>268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271</v>
      </c>
      <c r="B22" t="s">
        <v>270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271</v>
      </c>
      <c r="B23" t="s">
        <v>273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271</v>
      </c>
      <c r="B24" t="s">
        <v>275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271</v>
      </c>
      <c r="B25" t="s">
        <v>277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271</v>
      </c>
      <c r="B26" t="s">
        <v>279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271</v>
      </c>
      <c r="B27" t="s">
        <v>281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271</v>
      </c>
      <c r="B28" t="s">
        <v>283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271</v>
      </c>
      <c r="B29" t="s">
        <v>285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271</v>
      </c>
      <c r="B30" t="s">
        <v>287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271</v>
      </c>
      <c r="B31" t="s">
        <v>289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901</v>
      </c>
      <c r="B32" t="s">
        <v>177</v>
      </c>
      <c r="C32">
        <f>INDEX(autos!$B$3:$B$500,MATCH($B32,autos!$A$3:$A$500,0))</f>
      </c>
      <c r="D32" s="11">
        <f>IF(INDEX(autos!$C$3:$C$500,MATCH($B32,autos!$A$3:$A$500,0))&gt;0,INDEX(autos!$C$3:$C$500,MATCH($B32,autos!$A$3:$A$500,0))/$B$4,"")</f>
      </c>
      <c r="N32" s="11">
        <f>SUM(D32:M32)</f>
      </c>
    </row>
    <row r="33" spans="1:14" x14ac:dyDescent="0.25">
      <c r="A33" t="s">
        <v>901</v>
      </c>
      <c r="B33" t="s">
        <v>179</v>
      </c>
      <c r="C33">
        <f>INDEX(autos!$B$3:$B$500,MATCH($B33,autos!$A$3:$A$500,0))</f>
      </c>
      <c r="D33" s="11">
        <f>IF(INDEX(autos!$C$3:$C$500,MATCH($B33,autos!$A$3:$A$500,0))&gt;0,INDEX(autos!$C$3:$C$500,MATCH($B33,autos!$A$3:$A$500,0))/$B$4,"")</f>
      </c>
      <c r="N33" s="11">
        <f>SUM(D33:M33)</f>
      </c>
    </row>
    <row r="34" spans="1:14" x14ac:dyDescent="0.25">
      <c r="A34" t="s">
        <v>901</v>
      </c>
      <c r="B34" t="s">
        <v>181</v>
      </c>
      <c r="C34">
        <f>INDEX(autos!$B$3:$B$500,MATCH($B34,autos!$A$3:$A$500,0))</f>
      </c>
      <c r="D34" s="11">
        <f>IF(INDEX(autos!$C$3:$C$500,MATCH($B34,autos!$A$3:$A$500,0))&gt;0,INDEX(autos!$C$3:$C$500,MATCH($B34,autos!$A$3:$A$500,0))/$B$4,"")</f>
      </c>
      <c r="N34" s="11">
        <f>SUM(D34:M34)</f>
      </c>
    </row>
    <row r="35" spans="1:14" x14ac:dyDescent="0.25">
      <c r="A35" t="s">
        <v>901</v>
      </c>
      <c r="B35" t="s">
        <v>183</v>
      </c>
      <c r="C35">
        <f>INDEX(autos!$B$3:$B$500,MATCH($B35,autos!$A$3:$A$500,0))</f>
      </c>
      <c r="D35" s="11">
        <f>IF(INDEX(autos!$C$3:$C$500,MATCH($B35,autos!$A$3:$A$500,0))&gt;0,INDEX(autos!$C$3:$C$500,MATCH($B35,autos!$A$3:$A$500,0))/$B$4,"")</f>
      </c>
      <c r="N35" s="11">
        <f>SUM(D35:M35)</f>
      </c>
    </row>
    <row r="36" spans="1:14" x14ac:dyDescent="0.25">
      <c r="A36" t="s">
        <v>901</v>
      </c>
      <c r="B36" t="s">
        <v>185</v>
      </c>
      <c r="C36">
        <f>INDEX(autos!$B$3:$B$500,MATCH($B36,autos!$A$3:$A$500,0))</f>
      </c>
      <c r="D36" s="11">
        <f>IF(INDEX(autos!$C$3:$C$500,MATCH($B36,autos!$A$3:$A$500,0))&gt;0,INDEX(autos!$C$3:$C$500,MATCH($B36,autos!$A$3:$A$500,0))/$B$4,"")</f>
      </c>
      <c r="N36" s="11">
        <f>SUM(D36:M36)</f>
      </c>
    </row>
    <row r="37" spans="1:14" x14ac:dyDescent="0.25">
      <c r="A37" t="s">
        <v>901</v>
      </c>
      <c r="B37" t="s">
        <v>187</v>
      </c>
      <c r="C37">
        <f>INDEX(autos!$B$3:$B$500,MATCH($B37,autos!$A$3:$A$500,0))</f>
      </c>
      <c r="D37" s="11">
        <f>IF(INDEX(autos!$C$3:$C$500,MATCH($B37,autos!$A$3:$A$500,0))&gt;0,INDEX(autos!$C$3:$C$500,MATCH($B37,autos!$A$3:$A$500,0))/$B$4,"")</f>
      </c>
      <c r="N37" s="11">
        <f>SUM(D37:M37)</f>
      </c>
    </row>
    <row r="38" spans="1:14" x14ac:dyDescent="0.25">
      <c r="A38" t="s">
        <v>901</v>
      </c>
      <c r="B38" t="s">
        <v>133</v>
      </c>
      <c r="C38">
        <f>INDEX(autos!$B$3:$B$500,MATCH($B38,autos!$A$3:$A$500,0))</f>
      </c>
      <c r="D38" s="11">
        <f>IF(INDEX(autos!$C$3:$C$500,MATCH($B38,autos!$A$3:$A$500,0))&gt;0,INDEX(autos!$C$3:$C$500,MATCH($B38,autos!$A$3:$A$500,0))/$B$4,"")</f>
      </c>
      <c r="N38" s="11">
        <f>SUM(D38:M38)</f>
      </c>
    </row>
    <row r="39" spans="1:14" x14ac:dyDescent="0.25">
      <c r="A39" t="s">
        <v>901</v>
      </c>
      <c r="B39" t="s">
        <v>190</v>
      </c>
      <c r="C39">
        <f>INDEX(autos!$B$3:$B$500,MATCH($B39,autos!$A$3:$A$500,0))</f>
      </c>
      <c r="D39" s="11">
        <f>IF(INDEX(autos!$C$3:$C$500,MATCH($B39,autos!$A$3:$A$500,0))&gt;0,INDEX(autos!$C$3:$C$500,MATCH($B39,autos!$A$3:$A$500,0))/$B$4,"")</f>
      </c>
      <c r="N39" s="11">
        <f>SUM(D39:M39)</f>
      </c>
    </row>
    <row r="40" spans="1:14" x14ac:dyDescent="0.25">
      <c r="A40" t="s">
        <v>902</v>
      </c>
      <c r="B40" t="s">
        <v>215</v>
      </c>
      <c r="C40">
        <f>INDEX(pilotos!$B$3:$B$500,MATCH($B40,pilotos!$A$3:$A$500,0))</f>
      </c>
      <c r="D40" s="11">
        <f>IF(INDEX(pilotos!$C$3:$C$500,MATCH($B40,pilotos!$A$3:$A$500,0))&gt;0,INDEX(pilotos!$C$3:$C$500,MATCH($B40,pilotos!$A$3:$A$500,0))/$B$4,"")</f>
      </c>
      <c r="N40" s="11">
        <f>SUM(D40:M40)</f>
      </c>
    </row>
    <row r="41" spans="1:14" x14ac:dyDescent="0.25">
      <c r="A41" t="s">
        <v>902</v>
      </c>
      <c r="B41" t="s">
        <v>217</v>
      </c>
      <c r="C41">
        <f>INDEX(pilotos!$B$3:$B$500,MATCH($B41,pilotos!$A$3:$A$500,0))</f>
      </c>
      <c r="D41" s="11">
        <f>IF(INDEX(pilotos!$C$3:$C$500,MATCH($B41,pilotos!$A$3:$A$500,0))&gt;0,INDEX(pilotos!$C$3:$C$500,MATCH($B41,pilotos!$A$3:$A$500,0))/$B$4,"")</f>
      </c>
      <c r="N41" s="11">
        <f>SUM(D41:M41)</f>
      </c>
    </row>
    <row r="42" spans="1:14" x14ac:dyDescent="0.25">
      <c r="A42" t="s">
        <v>902</v>
      </c>
      <c r="B42" t="s">
        <v>35</v>
      </c>
      <c r="C42">
        <f>INDEX(pilotos!$B$3:$B$500,MATCH($B42,pilotos!$A$3:$A$500,0))</f>
      </c>
      <c r="D42" s="11">
        <f>IF(INDEX(pilotos!$C$3:$C$500,MATCH($B42,pilotos!$A$3:$A$500,0))&gt;0,INDEX(pilotos!$C$3:$C$500,MATCH($B42,pilotos!$A$3:$A$500,0))/$B$4,"")</f>
      </c>
      <c r="N42" s="11">
        <f>SUM(D42:M42)</f>
      </c>
    </row>
    <row r="43" spans="1:14" x14ac:dyDescent="0.25">
      <c r="A43" t="s">
        <v>902</v>
      </c>
      <c r="B43" t="s">
        <v>220</v>
      </c>
      <c r="C43">
        <f>INDEX(pilotos!$B$3:$B$500,MATCH($B43,pilotos!$A$3:$A$500,0))</f>
      </c>
      <c r="D43" s="11">
        <f>IF(INDEX(pilotos!$C$3:$C$500,MATCH($B43,pilotos!$A$3:$A$500,0))&gt;0,INDEX(pilotos!$C$3:$C$500,MATCH($B43,pilotos!$A$3:$A$500,0))/$B$4,"")</f>
      </c>
      <c r="N43" s="11">
        <f>SUM(D43:M43)</f>
      </c>
    </row>
    <row r="44" spans="1:14" x14ac:dyDescent="0.25">
      <c r="A44" t="s">
        <v>902</v>
      </c>
      <c r="B44" t="s">
        <v>222</v>
      </c>
      <c r="C44">
        <f>INDEX(pilotos!$B$3:$B$500,MATCH($B44,pilotos!$A$3:$A$500,0))</f>
      </c>
      <c r="D44" s="11">
        <f>IF(INDEX(pilotos!$C$3:$C$500,MATCH($B44,pilotos!$A$3:$A$500,0))&gt;0,INDEX(pilotos!$C$3:$C$500,MATCH($B44,pilotos!$A$3:$A$500,0))/$B$4,"")</f>
      </c>
      <c r="N44" s="11">
        <f>SUM(D44:M44)</f>
      </c>
    </row>
    <row r="46" spans="3:14" x14ac:dyDescent="0.25">
      <c r="C46" s="1" t="s">
        <v>903</v>
      </c>
      <c r="N46" s="11">
        <f>SUM(N11:N44)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2026-10-04T19:51:30Z</dcterms:created>
  <dcterms:modified xsi:type="dcterms:W3CDTF">2026-10-04T19:51:30Z</dcterms:modified>
</cp:coreProperties>
</file>