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me" state="visible" r:id="rId4"/>
    <sheet sheetId="2" name="enemigos" state="visible" r:id="rId5"/>
    <sheet sheetId="3" name="armas" state="visible" r:id="rId6"/>
    <sheet sheetId="4" name="pasivas" state="visible" r:id="rId7"/>
    <sheet sheetId="5" name="autos" state="visible" r:id="rId8"/>
    <sheet sheetId="6" name="pilotos" state="visible" r:id="rId9"/>
    <sheet sheetId="7" name="precios" state="visible" r:id="rId10"/>
    <sheet sheetId="8" name="plagas" state="visible" r:id="rId11"/>
    <sheet sheetId="9" name="armas_extra" state="visible" r:id="rId12"/>
    <sheet sheetId="10" name="ritmo" state="visible" r:id="rId13"/>
    <sheet sheetId="11" name="ataques" state="visible" r:id="rId14"/>
    <sheet sheetId="12" name="duelo" state="visible" r:id="rId15"/>
    <sheet sheetId="13" name="duelo_bloques" state="visible" r:id="rId16"/>
    <sheet sheetId="14" name="duelo_chasis" state="visible" r:id="rId17"/>
    <sheet sheetId="15" name="duelo_ruedas" state="visible" r:id="rId18"/>
    <sheet sheetId="16" name="duelo_armas" state="visible" r:id="rId19"/>
    <sheet sheetId="17" name="duelo_rival" state="visible" r:id="rId20"/>
    <sheet sheetId="18" name="Golpes para matar" state="visible" r:id="rId21"/>
    <sheet sheetId="19" name="Tiempo jefe" state="visible" r:id="rId22"/>
    <sheet sheetId="20" name="Partidas para comprar" state="visible" r:id="rId23"/>
  </sheets>
  <calcPr calcId="171027" fullCalcOnLoad="1"/>
</workbook>
</file>

<file path=xl/sharedStrings.xml><?xml version="1.0" encoding="utf-8"?>
<sst xmlns="http://schemas.openxmlformats.org/spreadsheetml/2006/main" count="2426" uniqueCount="1876">
  <si>
    <t>Balance de Junked Metal. Esta planilla se genera desde src/balance.json (npm run balance:xlsx) y vuelve al juego con npm run balance:import.</t>
  </si>
  <si>
    <t>Hojas de datos (se importan): enemigos, armas, armas_extra, pasivas, ritmo, ataques, autos, pilotos, precios, plagas, duelo, duelo_bloques, duelo_chasis, duelo_ruedas, duelo_armas, duelo_rival. Fila 1 = columnas, fila 2 = qué significa cada una.</t>
  </si>
  <si>
    <t>Se editan SOLO los números. No cambiar los id, no agregar ni borrar filas ni columnas (el importador lo rechaza). Las columnas nombre y tipo son referencia.</t>
  </si>
  <si>
    <t>Hojas calculadas (no se importan): Golpes para matar, Tiempo jefe, Partidas para comprar. Se actualizan solas. Las celdas amarillas son supuestos editables solo de la hoja calculada.</t>
  </si>
  <si>
    <t>Para volver al juego: Archivo &gt; Descargar &gt; Valores separados por tabulaciones (.tsv) de cada hoja de datos, juntar en un .txt con una línea '### nombre_hoja' antes de cada una y correr npm run balance:import -- archivo.txt.</t>
  </si>
  <si>
    <t>Usar punto decimal (configuración regional de EE. UU.) o coma sin separador de miles. El importador avisa de las diferencias antes de escribir el JSON.</t>
  </si>
  <si>
    <t>id</t>
  </si>
  <si>
    <t>nombre</t>
  </si>
  <si>
    <t>tipo</t>
  </si>
  <si>
    <t>vida</t>
  </si>
  <si>
    <t>velocidad</t>
  </si>
  <si>
    <t>dano</t>
  </si>
  <si>
    <t>peso</t>
  </si>
  <si>
    <t>xp</t>
  </si>
  <si>
    <t>aparece_min</t>
  </si>
  <si>
    <t>peso_base</t>
  </si>
  <si>
    <t>peso_por_min</t>
  </si>
  <si>
    <t>Identificador del bicho (no cambiar)</t>
  </si>
  <si>
    <t>Nombre (referencia: el juego usa el del código)</t>
  </si>
  <si>
    <t>bicho, minijefe o jefe_final (referencia: define cómo calcula la hoja Golpes para matar)</t>
  </si>
  <si>
    <t>Vida base. Bichos normales: × ritmo.dureza_vida y × el escalado por tiempo; jefes: se usa tal cual</t>
  </si>
  <si>
    <t>Velocidad máxima (m/s)</t>
  </si>
  <si>
    <t>Daño base de contacto (golpe real = dano × ritmo.contacto_dano; × dureza en bichos normales)</t>
  </si>
  <si>
    <t>Masa física: cuánto cuesta empujarlo</t>
  </si>
  <si>
    <t>Tuercas de XP que suelta (× dureza_xp en bichos normales)</t>
  </si>
  <si>
    <t>Minuto desde el que entra en la mezcla común (las plagas pueden adelantarlo)</t>
  </si>
  <si>
    <t>Peso de aparición en la mezcla al llegar a su minuto</t>
  </si>
  <si>
    <t>Peso extra por cada minuto de partida</t>
  </si>
  <si>
    <t>hormiga</t>
  </si>
  <si>
    <t>Hormiga</t>
  </si>
  <si>
    <t>bicho</t>
  </si>
  <si>
    <t>escupidora</t>
  </si>
  <si>
    <t>Hormiga escupidora</t>
  </si>
  <si>
    <t>friccion</t>
  </si>
  <si>
    <t>Autito a fricción</t>
  </si>
  <si>
    <t>robot</t>
  </si>
  <si>
    <t>Robot a cuerda</t>
  </si>
  <si>
    <t>polilla</t>
  </si>
  <si>
    <t>Polilla</t>
  </si>
  <si>
    <t>escarabajo</t>
  </si>
  <si>
    <t>Escarabajo</t>
  </si>
  <si>
    <t>rey</t>
  </si>
  <si>
    <t>ESCARABAJO REY</t>
  </si>
  <si>
    <t>minijefe</t>
  </si>
  <si>
    <t>cortadora</t>
  </si>
  <si>
    <t>CORTADORA DE CÉSPED</t>
  </si>
  <si>
    <t>tarantula</t>
  </si>
  <si>
    <t>TARÁNTULA</t>
  </si>
  <si>
    <t>gato</t>
  </si>
  <si>
    <t>EULALIO EL MICHU</t>
  </si>
  <si>
    <t>proyector</t>
  </si>
  <si>
    <t>EL PROYECTOR DEL DIRECTOR</t>
  </si>
  <si>
    <t>grua</t>
  </si>
  <si>
    <t>LA GRÚA DE FERIA</t>
  </si>
  <si>
    <t>payaso</t>
  </si>
  <si>
    <t>EL PAYASO DE RESORTE</t>
  </si>
  <si>
    <t>limpiafondos</t>
  </si>
  <si>
    <t>EL LIMPIAFONDOS</t>
  </si>
  <si>
    <t>muneco</t>
  </si>
  <si>
    <t>EL MUÑECO DE VENTRÍLOCUO</t>
  </si>
  <si>
    <t>falso</t>
  </si>
  <si>
    <t>Muñeco falso</t>
  </si>
  <si>
    <t>perro</t>
  </si>
  <si>
    <t>FELIPE EL DOGO</t>
  </si>
  <si>
    <t>jefe_final</t>
  </si>
  <si>
    <t>aspiradora</t>
  </si>
  <si>
    <t>LA ASPIRADORA ROBOT</t>
  </si>
  <si>
    <t>cortacercos</t>
  </si>
  <si>
    <t>EL CORTACERCOS ELÉCTRICO</t>
  </si>
  <si>
    <t>caja</t>
  </si>
  <si>
    <t>LA CAJA DE MÚSICA ROTA</t>
  </si>
  <si>
    <t>fuego</t>
  </si>
  <si>
    <t>Bicho de fuego</t>
  </si>
  <si>
    <t>cohete</t>
  </si>
  <si>
    <t>Bicho-cohete</t>
  </si>
  <si>
    <t>enjambre</t>
  </si>
  <si>
    <t>Enjambre alienígena</t>
  </si>
  <si>
    <t>tirador</t>
  </si>
  <si>
    <t>Tirador de onda</t>
  </si>
  <si>
    <t>saltador</t>
  </si>
  <si>
    <t>Saltador lunar</t>
  </si>
  <si>
    <t>emboscador</t>
  </si>
  <si>
    <t>Emboscador de cráter</t>
  </si>
  <si>
    <t>flotante</t>
  </si>
  <si>
    <t>Flotante</t>
  </si>
  <si>
    <t>tanque</t>
  </si>
  <si>
    <t>Tanque de chatarra</t>
  </si>
  <si>
    <t>explosivo</t>
  </si>
  <si>
    <t>Explosivo</t>
  </si>
  <si>
    <t>curandero</t>
  </si>
  <si>
    <t>Curandero</t>
  </si>
  <si>
    <t>grillo</t>
  </si>
  <si>
    <t>Grillo saltarín</t>
  </si>
  <si>
    <t>mosca</t>
  </si>
  <si>
    <t>Mosca zigzag</t>
  </si>
  <si>
    <t>babosa</t>
  </si>
  <si>
    <t>Babosa Flemática</t>
  </si>
  <si>
    <t>gusano</t>
  </si>
  <si>
    <t>GUSANO LUNAR</t>
  </si>
  <si>
    <t>unidad_dano</t>
  </si>
  <si>
    <t>dano_base</t>
  </si>
  <si>
    <t>dano_nivel</t>
  </si>
  <si>
    <t>dano_evo_mult</t>
  </si>
  <si>
    <t>dano_evo_fijo</t>
  </si>
  <si>
    <t>recarga_base</t>
  </si>
  <si>
    <t>recarga_min</t>
  </si>
  <si>
    <t>recarga_nivel</t>
  </si>
  <si>
    <t>recarga_div</t>
  </si>
  <si>
    <t>recarga_evo</t>
  </si>
  <si>
    <t>recarga_evo_div</t>
  </si>
  <si>
    <t>alcance</t>
  </si>
  <si>
    <t>alcance_evo</t>
  </si>
  <si>
    <t>area_base</t>
  </si>
  <si>
    <t>area_nivel</t>
  </si>
  <si>
    <t>area_evo</t>
  </si>
  <si>
    <t>n_base</t>
  </si>
  <si>
    <t>n_cada</t>
  </si>
  <si>
    <t>n_desde</t>
  </si>
  <si>
    <t>n_evo</t>
  </si>
  <si>
    <t>duracion_base</t>
  </si>
  <si>
    <t>duracion_nivel</t>
  </si>
  <si>
    <t>duracion_evo</t>
  </si>
  <si>
    <t>Identificador del arma (no cambiar)</t>
  </si>
  <si>
    <t>Nombre (referencia)</t>
  </si>
  <si>
    <t>Qué significa un golpe de esa arma (referencia, para leer la hoja Golpes para matar)</t>
  </si>
  <si>
    <t>Daño = dano_base + dano_nivel × nivel (antes del daño del equipo)</t>
  </si>
  <si>
    <t>Daño extra por nivel (Lápiz-lanza: +fracción de embestida por nivel)</t>
  </si>
  <si>
    <t>Evolución: multiplicador del daño normal</t>
  </si>
  <si>
    <t>Evolución: daño fijo (0 = no aplica; manda sobre el multiplicador)</t>
  </si>
  <si>
    <t>Segundos entre disparos al nivel 0</t>
  </si>
  <si>
    <t>Piso de la recarga (segundos)</t>
  </si>
  <si>
    <t>Segundos menos de recarga por nivel: max(piso, base − nivel × N)</t>
  </si>
  <si>
    <t>Solo Gomitas y Helado: recarga = base ÷ (1 + div × (nivel − 1))</t>
  </si>
  <si>
    <t>Evolución: recarga fija en segundos (0 = no aplica)</t>
  </si>
  <si>
    <t>Evolución: divisor de la recarga (1 = sin cambio)</t>
  </si>
  <si>
    <t>Distancia (m) a la que busca objetivo</t>
  </si>
  <si>
    <t>Ídem evolucionada (0 = no aplica)</t>
  </si>
  <si>
    <t>Radio, largo o tamaño del efecto (m) al nivel 0</t>
  </si>
  <si>
    <t>Metros extra por nivel</t>
  </si>
  <si>
    <t>Ídem evolucionada (0 = no aplica; Lápiz-lanza: radio de la onda del Ariete)</t>
  </si>
  <si>
    <t>Proyectiles: base</t>
  </si>
  <si>
    <t>Proyectiles: uno más cada tantos niveles</t>
  </si>
  <si>
    <t>Proyectiles: cantidad = base + piso((nivel − desde) ÷ cada)</t>
  </si>
  <si>
    <t>Evolución: cantidad fija (0 = no aplica)</t>
  </si>
  <si>
    <t>Segundos de vida del proyectil, zona o chorro</t>
  </si>
  <si>
    <t>Segundos extra por nivel</t>
  </si>
  <si>
    <t>Velocidad del proyectil (m/s)</t>
  </si>
  <si>
    <t>gomitas</t>
  </si>
  <si>
    <t>Lanza-gomitas</t>
  </si>
  <si>
    <t>por impacto</t>
  </si>
  <si>
    <t>clips</t>
  </si>
  <si>
    <t>Clips orbitales</t>
  </si>
  <si>
    <t>por golpe (cada 0,35 s)</t>
  </si>
  <si>
    <t>chispero</t>
  </si>
  <si>
    <t>Chispero</t>
  </si>
  <si>
    <t>por segundo</t>
  </si>
  <si>
    <t>petardos</t>
  </si>
  <si>
    <t>Petardos</t>
  </si>
  <si>
    <t>por explosión</t>
  </si>
  <si>
    <t>tesla</t>
  </si>
  <si>
    <t>Antena Tesla</t>
  </si>
  <si>
    <t>por salto de la cadena</t>
  </si>
  <si>
    <t>lanza</t>
  </si>
  <si>
    <t>Lápiz-lanza</t>
  </si>
  <si>
    <t>multiplicador de la embestida</t>
  </si>
  <si>
    <t>agua</t>
  </si>
  <si>
    <t>Pistola de agua</t>
  </si>
  <si>
    <t>por pulso (cada 0,1 s)</t>
  </si>
  <si>
    <t>yoyo</t>
  </si>
  <si>
    <t>Yo-yo</t>
  </si>
  <si>
    <t>bengalas</t>
  </si>
  <si>
    <t>Bengalas</t>
  </si>
  <si>
    <t>por segundo en la zona</t>
  </si>
  <si>
    <t>regla</t>
  </si>
  <si>
    <t>Bumerán de regla</t>
  </si>
  <si>
    <t>helado</t>
  </si>
  <si>
    <t>Helado congelante</t>
  </si>
  <si>
    <t>bocina</t>
  </si>
  <si>
    <t>Bocina</t>
  </si>
  <si>
    <t>por onda</t>
  </si>
  <si>
    <t>trompo</t>
  </si>
  <si>
    <t>Trompo</t>
  </si>
  <si>
    <t>por golpe</t>
  </si>
  <si>
    <t>tuercas</t>
  </si>
  <si>
    <t>Imán de tuercas</t>
  </si>
  <si>
    <t>por tuerca (atraviesa)</t>
  </si>
  <si>
    <t>bobinas</t>
  </si>
  <si>
    <t>Bobinas</t>
  </si>
  <si>
    <t>por segundo en el arco</t>
  </si>
  <si>
    <t>ventilador</t>
  </si>
  <si>
    <t>Ventilador de mesa</t>
  </si>
  <si>
    <t>por segundo en el cono</t>
  </si>
  <si>
    <t>canicas</t>
  </si>
  <si>
    <t>Resortera de canicas</t>
  </si>
  <si>
    <t>por rebote</t>
  </si>
  <si>
    <t>burbujas</t>
  </si>
  <si>
    <t>Pistola de burbujas</t>
  </si>
  <si>
    <t>al reventar la burbuja</t>
  </si>
  <si>
    <t>matamoscas</t>
  </si>
  <si>
    <t>Matamoscas eléctrico</t>
  </si>
  <si>
    <t>dardos</t>
  </si>
  <si>
    <t>Lanzadardos de goma</t>
  </si>
  <si>
    <t>por dardo (el 3.º explota)</t>
  </si>
  <si>
    <t>chapitas</t>
  </si>
  <si>
    <t>Trompo de chapitas</t>
  </si>
  <si>
    <t>por pisotón</t>
  </si>
  <si>
    <t>paraguas</t>
  </si>
  <si>
    <t>Paraguas giratorio</t>
  </si>
  <si>
    <t>Cohete de botella</t>
  </si>
  <si>
    <t>serpentinas</t>
  </si>
  <si>
    <t>Serpentinas</t>
  </si>
  <si>
    <t>por cinta y bicho</t>
  </si>
  <si>
    <t>tambor</t>
  </si>
  <si>
    <t>Tambor de hojalata</t>
  </si>
  <si>
    <t>base</t>
  </si>
  <si>
    <t>por_nivel</t>
  </si>
  <si>
    <t>base2</t>
  </si>
  <si>
    <t>por_nivel2</t>
  </si>
  <si>
    <t>Identificador (no cambiar)</t>
  </si>
  <si>
    <t>Valor base (solo Imán: radio de recolección en m)</t>
  </si>
  <si>
    <t>Efecto por nivel: Imán, Resorte y Lupa +fracción; Turbo +fracción de velocidad; Litio +vida máxima; Capacitor y LEGO: multiplicador compuesto (0,92 = −8% por nivel)</t>
  </si>
  <si>
    <t>Base del efecto secundario (Turbo: recarga del turbo por s; Litio: regeneración por s)</t>
  </si>
  <si>
    <t>Efecto secundario por nivel (Turbo: +fracción de recarga; Litio: regeneración por s; LEGO: +fracción de peso)</t>
  </si>
  <si>
    <t>iman</t>
  </si>
  <si>
    <t>Imán de heladera</t>
  </si>
  <si>
    <t>resorte</t>
  </si>
  <si>
    <t>Resorte</t>
  </si>
  <si>
    <t>turbo</t>
  </si>
  <si>
    <t>Motor turbo</t>
  </si>
  <si>
    <t>litio</t>
  </si>
  <si>
    <t>Pila de litio</t>
  </si>
  <si>
    <t>capacitor</t>
  </si>
  <si>
    <t>Capacitor</t>
  </si>
  <si>
    <t>lego</t>
  </si>
  <si>
    <t>Paragolpes LEGO</t>
  </si>
  <si>
    <t>lupa</t>
  </si>
  <si>
    <t>Lupa</t>
  </si>
  <si>
    <t>precio</t>
  </si>
  <si>
    <t>aceleracion</t>
  </si>
  <si>
    <t>giro</t>
  </si>
  <si>
    <t>agarre</t>
  </si>
  <si>
    <t>embestida</t>
  </si>
  <si>
    <t>masa</t>
  </si>
  <si>
    <t>Precio en tornillos (0 = de serie)</t>
  </si>
  <si>
    <t>Vida máxima</t>
  </si>
  <si>
    <t>Aceleración (m/s²)</t>
  </si>
  <si>
    <t>Velocidad de giro</t>
  </si>
  <si>
    <t>Agarre lateral (más alto = menos derrape)</t>
  </si>
  <si>
    <t>Multiplicador del daño de embestida</t>
  </si>
  <si>
    <t>Masa (peso al chocar)</t>
  </si>
  <si>
    <t>buggy</t>
  </si>
  <si>
    <t>El Divorciado</t>
  </si>
  <si>
    <t>monster</t>
  </si>
  <si>
    <t>El Loco Cuarentón</t>
  </si>
  <si>
    <t>formula</t>
  </si>
  <si>
    <t>El Apurado</t>
  </si>
  <si>
    <t>El Suegro</t>
  </si>
  <si>
    <t>carrera</t>
  </si>
  <si>
    <t>El Sin Seguro</t>
  </si>
  <si>
    <t>axel</t>
  </si>
  <si>
    <t>El Sin Licencia</t>
  </si>
  <si>
    <t>El Tío del Helado</t>
  </si>
  <si>
    <t>combi</t>
  </si>
  <si>
    <t>El Tío Raro</t>
  </si>
  <si>
    <t>hover</t>
  </si>
  <si>
    <t>El Capitán de Bañera</t>
  </si>
  <si>
    <t>topadora</t>
  </si>
  <si>
    <t>El Capataz</t>
  </si>
  <si>
    <t>triciclo</t>
  </si>
  <si>
    <t>El Repartidor</t>
  </si>
  <si>
    <t>dano_mult</t>
  </si>
  <si>
    <t>vida_mas</t>
  </si>
  <si>
    <t>iman_mult</t>
  </si>
  <si>
    <t>regen_mas</t>
  </si>
  <si>
    <t>blindaje_mult</t>
  </si>
  <si>
    <t>blindaje_mas</t>
  </si>
  <si>
    <t>velocidad_mult</t>
  </si>
  <si>
    <t>peso_mult</t>
  </si>
  <si>
    <t>recarga_mult</t>
  </si>
  <si>
    <t>xp_mult</t>
  </si>
  <si>
    <t>arma_inicial</t>
  </si>
  <si>
    <t>habilidad</t>
  </si>
  <si>
    <t>habilidad_txt</t>
  </si>
  <si>
    <t>Precio en tornillos (0 = de serie o por logro)</t>
  </si>
  <si>
    <t>Multiplicador del daño del equipo (1 = sin cambio)</t>
  </si>
  <si>
    <t>Vida máxima extra (suma)</t>
  </si>
  <si>
    <t>Multiplicador del radio del imán</t>
  </si>
  <si>
    <t>Regeneración extra por segundo (suma)</t>
  </si>
  <si>
    <t>Multiplicador del daño recibido (0,88 = recibe 12% menos)</t>
  </si>
  <si>
    <t>Suma al blindaje (−0,1 = recibe 10% más)</t>
  </si>
  <si>
    <t>Multiplicador de velocidad</t>
  </si>
  <si>
    <t>Multiplicador de masa del auto</t>
  </si>
  <si>
    <t>Multiplicador del tiempo de recarga de armas (1,1 = 10% más lentas)</t>
  </si>
  <si>
    <t>Multiplicador de XP</t>
  </si>
  <si>
    <t>Arma con la que arranca (id de la hoja armas)</t>
  </si>
  <si>
    <t/>
  </si>
  <si>
    <t>soldadito</t>
  </si>
  <si>
    <t>El Sargento Sin Pensión</t>
  </si>
  <si>
    <t>bombardeo</t>
  </si>
  <si>
    <t>Orden del día: petardos. Lluvia de petardos alrededor del auto.</t>
  </si>
  <si>
    <t>muneca</t>
  </si>
  <si>
    <t>La Divorciada de Trapo</t>
  </si>
  <si>
    <t>escudo</t>
  </si>
  <si>
    <t>Remiendo exprés: escudo de 3 s que cura 30% de la vida.</t>
  </si>
  <si>
    <t>El Robot en Crisis</t>
  </si>
  <si>
    <t>lenta</t>
  </si>
  <si>
    <t>Sobreclock: el mundo va al 40% durante 3 s y el auto no se frena.</t>
  </si>
  <si>
    <t>dino</t>
  </si>
  <si>
    <t>El Rex Jubilado</t>
  </si>
  <si>
    <t>emp</t>
  </si>
  <si>
    <t>Rugido jubilado: aturde 2 s a los enemigos cercanos (jefes no).</t>
  </si>
  <si>
    <t>figura</t>
  </si>
  <si>
    <t>El Mega Macho</t>
  </si>
  <si>
    <t>Exhibición de fuerza: 4 s de turbo con embestida reforzada, a puro músculo hueco.</t>
  </si>
  <si>
    <t>abuela</t>
  </si>
  <si>
    <t>La Abuela de Porcelana</t>
  </si>
  <si>
    <t>Té de las cinco: escudo de 3 s que cura 30% de la vida, con galletitas.</t>
  </si>
  <si>
    <t>astronauta</t>
  </si>
  <si>
    <t>El Astronauta de Plástico</t>
  </si>
  <si>
    <t>Gravedad cero: el mundo va al 40% durante 3 s y el auto no se frena.</t>
  </si>
  <si>
    <t>dinogoma</t>
  </si>
  <si>
    <t>El Dinosaurio de Goma Mordida</t>
  </si>
  <si>
    <t>Mordisco de perro: lluvia de petardos alrededor del auto.</t>
  </si>
  <si>
    <t>rusa</t>
  </si>
  <si>
    <t>La Muñeca Rusa Desconfiada</t>
  </si>
  <si>
    <t>Sorpresa por dentro: 4 s de turbo con embestida reforzada, por si acaso.</t>
  </si>
  <si>
    <t>efecto</t>
  </si>
  <si>
    <t>nivel1</t>
  </si>
  <si>
    <t>nivel2</t>
  </si>
  <si>
    <t>nivel3</t>
  </si>
  <si>
    <t>nivel4</t>
  </si>
  <si>
    <t>nivel5</t>
  </si>
  <si>
    <t>nivel6</t>
  </si>
  <si>
    <t>nivel7</t>
  </si>
  <si>
    <t>nivel8</t>
  </si>
  <si>
    <t>nivel9</t>
  </si>
  <si>
    <t>nivel10</t>
  </si>
  <si>
    <t>mejora, habilidad, arma, zona o pieza (referencia)</t>
  </si>
  <si>
    <t>Efecto por nivel de la mejora: Chasis +vida, Piñón +fracción de daño, Motor +fracción de velocidad, Imán +fracción, Contador de tuercas +fracción de XP, Placa de lata +fracción de blindaje, Cinta aisladora +vida/s, Nafta de encendedor +fracción de turbo (recarga y duración), Paragolpes de fierro +fracción de daño al embestir, Gatillo engrasado −fracción de recarga de armas (0 = fijo; habilidades: ver ritmo habilidad_cd_nivel y habilidad_efecto_nivel)</t>
  </si>
  <si>
    <t>Precio en tornillos del nivel 1 (vacío = ese nivel no existe)</t>
  </si>
  <si>
    <t>Precio en tornillos del nivel 2 (vacío = ese nivel no existe)</t>
  </si>
  <si>
    <t>Precio en tornillos del nivel 3 (vacío = ese nivel no existe)</t>
  </si>
  <si>
    <t>Precio en tornillos del nivel 4 (vacío = ese nivel no existe)</t>
  </si>
  <si>
    <t>Precio en tornillos del nivel 5 (vacío = ese nivel no existe)</t>
  </si>
  <si>
    <t>Precio en tornillos del nivel 6 (vacío = ese nivel no existe)</t>
  </si>
  <si>
    <t>Precio en tornillos del nivel 7 (vacío = ese nivel no existe)</t>
  </si>
  <si>
    <t>Precio en tornillos del nivel 8 (vacío = ese nivel no existe)</t>
  </si>
  <si>
    <t>Precio en tornillos del nivel 9 (vacío = ese nivel no existe)</t>
  </si>
  <si>
    <t>Precio en tornillos del nivel 10 (vacío = ese nivel no existe)</t>
  </si>
  <si>
    <t>hp</t>
  </si>
  <si>
    <t>mejora</t>
  </si>
  <si>
    <t>Chasis reforzado</t>
  </si>
  <si>
    <t>dmg</t>
  </si>
  <si>
    <t>Piñón afilado</t>
  </si>
  <si>
    <t>spd</t>
  </si>
  <si>
    <t>Motor rebobinado</t>
  </si>
  <si>
    <t>mag</t>
  </si>
  <si>
    <t>Imán de parlante</t>
  </si>
  <si>
    <t>arm</t>
  </si>
  <si>
    <t>Placa de lata</t>
  </si>
  <si>
    <t>reg</t>
  </si>
  <si>
    <t>Cinta aisladora</t>
  </si>
  <si>
    <t>tur</t>
  </si>
  <si>
    <t>Nafta de encendedor</t>
  </si>
  <si>
    <t>ram</t>
  </si>
  <si>
    <t>Paragolpes de fierro</t>
  </si>
  <si>
    <t>cdr</t>
  </si>
  <si>
    <t>Gatillo engrasado</t>
  </si>
  <si>
    <t>Contador de tuercas</t>
  </si>
  <si>
    <t>reroll</t>
  </si>
  <si>
    <t>Dado cargado</t>
  </si>
  <si>
    <t>extra</t>
  </si>
  <si>
    <t>Caja de repuestos</t>
  </si>
  <si>
    <t>revive</t>
  </si>
  <si>
    <t>Batería de reserva</t>
  </si>
  <si>
    <t>cards</t>
  </si>
  <si>
    <t>Cuarta ranura</t>
  </si>
  <si>
    <t>zona_garaje</t>
  </si>
  <si>
    <t>zona</t>
  </si>
  <si>
    <t>Garaje de la casa</t>
  </si>
  <si>
    <t>zona_jardin</t>
  </si>
  <si>
    <t>Jardín delantero</t>
  </si>
  <si>
    <t>zona_pileta</t>
  </si>
  <si>
    <t>La pileta vacía</t>
  </si>
  <si>
    <t>zona_desvan</t>
  </si>
  <si>
    <t>Desván de los juguetes rotos</t>
  </si>
  <si>
    <t>pieza_wing_alto</t>
  </si>
  <si>
    <t>pieza</t>
  </si>
  <si>
    <t>Alerón alto</t>
  </si>
  <si>
    <t>pieza_wing_doble</t>
  </si>
  <si>
    <t>Biplano</t>
  </si>
  <si>
    <t>pieza_decal_numero</t>
  </si>
  <si>
    <t>Calco Número</t>
  </si>
  <si>
    <t>pieza_decal_rayo</t>
  </si>
  <si>
    <t>Calco Rayo</t>
  </si>
  <si>
    <t>pieza_decal_damero</t>
  </si>
  <si>
    <t>Calco Damero</t>
  </si>
  <si>
    <t>pieza_lamp_ambar</t>
  </si>
  <si>
    <t>Faro Ámbar</t>
  </si>
  <si>
    <t>pieza_lamp_cian</t>
  </si>
  <si>
    <t>Faro Cian</t>
  </si>
  <si>
    <t>pieza_lamp_violeta</t>
  </si>
  <si>
    <t>Faro Violeta</t>
  </si>
  <si>
    <t>pieza_exhaust_doble</t>
  </si>
  <si>
    <t>Escape Doble caño</t>
  </si>
  <si>
    <t>pieza_exhaust_chimenea</t>
  </si>
  <si>
    <t>Escape Chimeneas</t>
  </si>
  <si>
    <t>hab_bombardeo</t>
  </si>
  <si>
    <t>Bombardeo de petardos</t>
  </si>
  <si>
    <t>hab_escudo</t>
  </si>
  <si>
    <t>Escudo que cura</t>
  </si>
  <si>
    <t>hab_emp</t>
  </si>
  <si>
    <t>Pulso EMP</t>
  </si>
  <si>
    <t>hab_turbo</t>
  </si>
  <si>
    <t>Turbo de plaza</t>
  </si>
  <si>
    <t>hab_lenta</t>
  </si>
  <si>
    <t>Cámara lenta</t>
  </si>
  <si>
    <t>arma_clips</t>
  </si>
  <si>
    <t>arma</t>
  </si>
  <si>
    <t>Lanzaclips</t>
  </si>
  <si>
    <t>arma_chispero</t>
  </si>
  <si>
    <t>arma_agua</t>
  </si>
  <si>
    <t>arma_yoyo</t>
  </si>
  <si>
    <t>Yoyó</t>
  </si>
  <si>
    <t>arma_bengalas</t>
  </si>
  <si>
    <t>arma_regla</t>
  </si>
  <si>
    <t>Regla</t>
  </si>
  <si>
    <t>arma_petardos</t>
  </si>
  <si>
    <t>arma_helado</t>
  </si>
  <si>
    <t>Helado</t>
  </si>
  <si>
    <t>arma_bocina</t>
  </si>
  <si>
    <t>arma_trompo</t>
  </si>
  <si>
    <t>arma_tuercas</t>
  </si>
  <si>
    <t>arma_bobinas</t>
  </si>
  <si>
    <t>arma_ventilador</t>
  </si>
  <si>
    <t>arma_canicas</t>
  </si>
  <si>
    <t>arma_burbujas</t>
  </si>
  <si>
    <t>arma_matamoscas</t>
  </si>
  <si>
    <t>arma_dardos</t>
  </si>
  <si>
    <t>arma_chapitas</t>
  </si>
  <si>
    <t>arma_paraguas</t>
  </si>
  <si>
    <t>arma_cohete</t>
  </si>
  <si>
    <t>arma_serpentinas</t>
  </si>
  <si>
    <t>arma_tambor</t>
  </si>
  <si>
    <t>arma_tesla</t>
  </si>
  <si>
    <t>pieza_bumper_cano</t>
  </si>
  <si>
    <t>Paragolpes de caño</t>
  </si>
  <si>
    <t>pieza_bumper_antivuelco</t>
  </si>
  <si>
    <t>Barra antivuelco</t>
  </si>
  <si>
    <t>pieza_bumper_laterales</t>
  </si>
  <si>
    <t>Defensas laterales</t>
  </si>
  <si>
    <t>pieza_tires_oruga</t>
  </si>
  <si>
    <t>Orugas</t>
  </si>
  <si>
    <t>pieza_tires_todoterreno</t>
  </si>
  <si>
    <t>Todoterreno</t>
  </si>
  <si>
    <t>pieza_tires_lisas</t>
  </si>
  <si>
    <t>Lisas de carrera</t>
  </si>
  <si>
    <t>pieza_tires_rayos</t>
  </si>
  <si>
    <t>Rayos de colores</t>
  </si>
  <si>
    <t>pieza_acc_pelotita</t>
  </si>
  <si>
    <t>Antena con pelotita</t>
  </si>
  <si>
    <t>pieza_acc_bocina</t>
  </si>
  <si>
    <t>Bocina de payaso</t>
  </si>
  <si>
    <t>pieza_acc_matafuego</t>
  </si>
  <si>
    <t>Matafuego</t>
  </si>
  <si>
    <t>pieza_acc_dados</t>
  </si>
  <si>
    <t>Dados de peluche</t>
  </si>
  <si>
    <t>pieza_acc_banderita</t>
  </si>
  <si>
    <t>Banderita</t>
  </si>
  <si>
    <t>mult_hormiga</t>
  </si>
  <si>
    <t>mult_friccion</t>
  </si>
  <si>
    <t>mult_escupidora</t>
  </si>
  <si>
    <t>mult_robot</t>
  </si>
  <si>
    <t>mult_polilla</t>
  </si>
  <si>
    <t>mult_escarabajo</t>
  </si>
  <si>
    <t>mult_grillo</t>
  </si>
  <si>
    <t>mult_mosca</t>
  </si>
  <si>
    <t>mult_babosa</t>
  </si>
  <si>
    <t>desde_hormiga</t>
  </si>
  <si>
    <t>desde_friccion</t>
  </si>
  <si>
    <t>desde_escupidora</t>
  </si>
  <si>
    <t>desde_robot</t>
  </si>
  <si>
    <t>desde_polilla</t>
  </si>
  <si>
    <t>desde_escarabajo</t>
  </si>
  <si>
    <t>desde_grillo</t>
  </si>
  <si>
    <t>desde_mosca</t>
  </si>
  <si>
    <t>desde_babosa</t>
  </si>
  <si>
    <t>Multiplicador del peso de aparición: hormiga</t>
  </si>
  <si>
    <t>Multiplicador del peso de aparición: friccion</t>
  </si>
  <si>
    <t>Multiplicador del peso de aparición: escupidora</t>
  </si>
  <si>
    <t>Multiplicador del peso de aparición: robot</t>
  </si>
  <si>
    <t>Multiplicador del peso de aparición: polilla</t>
  </si>
  <si>
    <t>Multiplicador del peso de aparición: escarabajo</t>
  </si>
  <si>
    <t>Minuto desde el que aparece hormiga (−1 = su minuto normal)</t>
  </si>
  <si>
    <t>Minuto desde el que aparece friccion (−1 = su minuto normal)</t>
  </si>
  <si>
    <t>Minuto desde el que aparece escupidora (−1 = su minuto normal)</t>
  </si>
  <si>
    <t>Minuto desde el que aparece robot (−1 = su minuto normal)</t>
  </si>
  <si>
    <t>Minuto desde el que aparece polilla (−1 = su minuto normal)</t>
  </si>
  <si>
    <t>Minuto desde el que aparece escarabajo (−1 = su minuto normal)</t>
  </si>
  <si>
    <t>plaga_hormigas</t>
  </si>
  <si>
    <t>PLAGA DE HORMIGAS</t>
  </si>
  <si>
    <t>plaga_juguetes</t>
  </si>
  <si>
    <t>INVASIÓN DE JUGUETES</t>
  </si>
  <si>
    <t>plaga_acido</t>
  </si>
  <si>
    <t>LLUVIA DE ÁCIDO</t>
  </si>
  <si>
    <t>plaga_escarabajos</t>
  </si>
  <si>
    <t>ESCARABAJOS TEMPRANOS</t>
  </si>
  <si>
    <t>plaga_mixto</t>
  </si>
  <si>
    <t>PATIO MIXTO</t>
  </si>
  <si>
    <t>valor</t>
  </si>
  <si>
    <t>descripcion</t>
  </si>
  <si>
    <t>Número: editar solo esta columna</t>
  </si>
  <si>
    <t>Qué controla</t>
  </si>
  <si>
    <t>gomitas_rebotes_evo</t>
  </si>
  <si>
    <t>Rebotes entre enemigos de la gomita evolucionada</t>
  </si>
  <si>
    <t>gomitas_rebote_alcance</t>
  </si>
  <si>
    <t>Alcance (m) con el que busca el siguiente enemigo al rebotar</t>
  </si>
  <si>
    <t>gomitas_rebote_vida_s</t>
  </si>
  <si>
    <t>Segundos de vida que le quedan a la gomita tras un rebote</t>
  </si>
  <si>
    <t>gomitas_abanico</t>
  </si>
  <si>
    <t>Separación (rad) entre gomitas cuando salen varias</t>
  </si>
  <si>
    <t>gomitas_empuje</t>
  </si>
  <si>
    <t>Empuje de cada gomita</t>
  </si>
  <si>
    <t>clips_golpe_recarga_s</t>
  </si>
  <si>
    <t>Segundos entre golpes de un clip al mismo enemigo</t>
  </si>
  <si>
    <t>clips_empuje</t>
  </si>
  <si>
    <t>Empuje de cada clip</t>
  </si>
  <si>
    <t>chispero_intervalo_s</t>
  </si>
  <si>
    <t>Segundos entre manchas de fuego (más corto = más fuegos superpuestos)</t>
  </si>
  <si>
    <t>chispero_vel_min</t>
  </si>
  <si>
    <t>Velocidad mínima (m/s) para que el auto deje fuego</t>
  </si>
  <si>
    <t>petardos_racimo_n</t>
  </si>
  <si>
    <t>Explosiones extra de la Bomba de Racimo (evolución)</t>
  </si>
  <si>
    <t>petardos_racimo_radio</t>
  </si>
  <si>
    <t>Radio de cada explosión extra, como fracción de la principal</t>
  </si>
  <si>
    <t>petardos_racimo_dano</t>
  </si>
  <si>
    <t>Daño de cada explosión extra, como fracción de la principal</t>
  </si>
  <si>
    <t>tesla_salto_alcance</t>
  </si>
  <si>
    <t>Alcance (m) del salto entre enemigos de la cadena</t>
  </si>
  <si>
    <t>lanza_ariete_dano</t>
  </si>
  <si>
    <t>Ariete (evolución): daño de la onda expansiva como fracción del golpe de embestida</t>
  </si>
  <si>
    <t>agua_cono</t>
  </si>
  <si>
    <t>Semiángulo (rad) del cono del chorro</t>
  </si>
  <si>
    <t>agua_cono_evo</t>
  </si>
  <si>
    <t>Semiángulo (rad) del cono de la Hidrolavadora</t>
  </si>
  <si>
    <t>agua_pulso_s</t>
  </si>
  <si>
    <t>Segundos entre pulsos de daño del chorro</t>
  </si>
  <si>
    <t>agua_empuje</t>
  </si>
  <si>
    <t>Empuje del chorro</t>
  </si>
  <si>
    <t>agua_empuje_evo</t>
  </si>
  <si>
    <t>Empuje de la Hidrolavadora</t>
  </si>
  <si>
    <t>agua_ralentiza_s</t>
  </si>
  <si>
    <t>Segundos que deja empapado (lento) a un enemigo</t>
  </si>
  <si>
    <t>agua_ralentiza_evo_s</t>
  </si>
  <si>
    <t>Ídem con la Hidrolavadora</t>
  </si>
  <si>
    <t>yoyo_vuelta_mult</t>
  </si>
  <si>
    <t>Multiplicador de daño del yo-yo en la vuelta</t>
  </si>
  <si>
    <t>yoyo_vuelta_vel</t>
  </si>
  <si>
    <t>Velocidad de vuelta del yo-yo respecto de la ida</t>
  </si>
  <si>
    <t>yoyo_orbita_min</t>
  </si>
  <si>
    <t>Doble yo-yo: radio mínimo de la órbita (m)</t>
  </si>
  <si>
    <t>yoyo_orbita_amp</t>
  </si>
  <si>
    <t>Doble yo-yo: cuánto se estira el hilo sobre el mínimo (m)</t>
  </si>
  <si>
    <t>yoyo_orbita_periodo_s</t>
  </si>
  <si>
    <t>Doble yo-yo: segundos de un ciclo completo de ida y vuelta</t>
  </si>
  <si>
    <t>yoyo_orbita_golpe_s</t>
  </si>
  <si>
    <t>Doble yo-yo: segundos entre golpes al mismo enemigo</t>
  </si>
  <si>
    <t>yoyo_abanico</t>
  </si>
  <si>
    <t>Separación (rad) entre yo-yos cuando salen varios</t>
  </si>
  <si>
    <t>yoyo_empuje</t>
  </si>
  <si>
    <t>Empuje del yo-yo</t>
  </si>
  <si>
    <t>bengalas_vuelo_s</t>
  </si>
  <si>
    <t>Segundos que tarda una bengala en llegar a su destino</t>
  </si>
  <si>
    <t>regla_abanico</t>
  </si>
  <si>
    <t>Separación (rad) entre reglas cuando salen varias</t>
  </si>
  <si>
    <t>regla_abanico_evo</t>
  </si>
  <si>
    <t>Separación (rad) entre reglas del Bumerán triple</t>
  </si>
  <si>
    <t>regla_tamano_evo</t>
  </si>
  <si>
    <t>Tamaño (y radio de golpe) del Bumerán triple</t>
  </si>
  <si>
    <t>regla_empuje</t>
  </si>
  <si>
    <t>Empuje de cada regla</t>
  </si>
  <si>
    <t>helado_abanico</t>
  </si>
  <si>
    <t>Separación (rad) entre bochas cuando salen varias</t>
  </si>
  <si>
    <t>helado_abanico_evo</t>
  </si>
  <si>
    <t>Separación (rad) entre bochas del Cono triple</t>
  </si>
  <si>
    <t>helado_ralentiza_base</t>
  </si>
  <si>
    <t>Segundos base que ralentiza una bocha</t>
  </si>
  <si>
    <t>helado_ralentiza_nivel</t>
  </si>
  <si>
    <t>Segundos extra de ralentización por nivel</t>
  </si>
  <si>
    <t>helado_congela_evo_s</t>
  </si>
  <si>
    <t>Cono triple: segundos que aturde (congela) al golpeado</t>
  </si>
  <si>
    <t>helado_enfria_radio_evo</t>
  </si>
  <si>
    <t>Cono triple: radio (m) en el que enfría a los de alrededor</t>
  </si>
  <si>
    <t>helado_enfria_evo_s</t>
  </si>
  <si>
    <t>Cono triple: segundos de ralentización en el área</t>
  </si>
  <si>
    <t>helado_empuje</t>
  </si>
  <si>
    <t>Empuje de cada bocha</t>
  </si>
  <si>
    <t>bocina_empuje</t>
  </si>
  <si>
    <t>Empuje de la onda</t>
  </si>
  <si>
    <t>bocina_aturde_s</t>
  </si>
  <si>
    <t>Segundos que aturde la onda (desde el nivel indicado)</t>
  </si>
  <si>
    <t>bocina_aturde_desde_nivel</t>
  </si>
  <si>
    <t>Nivel desde el que la onda aturde</t>
  </si>
  <si>
    <t>bocina_aturde_evo_s</t>
  </si>
  <si>
    <t>Segundos que aturde la Sirena</t>
  </si>
  <si>
    <t>trompo_retarget</t>
  </si>
  <si>
    <t>Alcance (m) con el que busca el siguiente enemigo</t>
  </si>
  <si>
    <t>trompo_evo_contacto_mult</t>
  </si>
  <si>
    <t>Ciclón: daño de contacto de los trompos orbitales, como fracción del golpe</t>
  </si>
  <si>
    <t>trompo_estela_mult</t>
  </si>
  <si>
    <t>Daño de la estela cortante, como fracción del golpe</t>
  </si>
  <si>
    <t>trompo_empuje</t>
  </si>
  <si>
    <t>Empuje del trompo</t>
  </si>
  <si>
    <t>trompo_evo_cantidad</t>
  </si>
  <si>
    <t>Ciclón: cantidad de trompos en órbita</t>
  </si>
  <si>
    <t>trompo_estela_cada_s</t>
  </si>
  <si>
    <t>Segundos entre discos de la estela cortante</t>
  </si>
  <si>
    <t>trompo_estela_vida_s</t>
  </si>
  <si>
    <t>Segundos que dura cada disco de la estela</t>
  </si>
  <si>
    <t>trompo_evo_golpes_s</t>
  </si>
  <si>
    <t>Ciclón: probabilidad de golpe por segundo de contacto de cada trompo orbital</t>
  </si>
  <si>
    <t>tuercas_atrae</t>
  </si>
  <si>
    <t>Imán de tuercas: atracción (m/s por segundo) hacia el anillo</t>
  </si>
  <si>
    <t>tuercas_atrae_evo_mult</t>
  </si>
  <si>
    <t>Electroimán de grúa: multiplicador de la atracción</t>
  </si>
  <si>
    <t>tuercas_anillo_min</t>
  </si>
  <si>
    <t>Distancia (m) al auto donde deja de atraer, para no meterlos encima</t>
  </si>
  <si>
    <t>tuercas_orbita_r</t>
  </si>
  <si>
    <t>Radio (m) de la órbita de las tuercas</t>
  </si>
  <si>
    <t>tuercas_giro</t>
  </si>
  <si>
    <t>Velocidad de giro de la órbita (rad/s)</t>
  </si>
  <si>
    <t>tuercas_rearme_s</t>
  </si>
  <si>
    <t>Segundos hasta que reaparecen las tuercas tras dispararse</t>
  </si>
  <si>
    <t>tuercas_golpe_radio</t>
  </si>
  <si>
    <t>Radio (m) de golpe de cada tuerca disparada</t>
  </si>
  <si>
    <t>tuercas_empuje</t>
  </si>
  <si>
    <t>Empuje de cada tuerca</t>
  </si>
  <si>
    <t>ventilador_cono</t>
  </si>
  <si>
    <t>Ventilador de mesa: medio ángulo (rad) del cono</t>
  </si>
  <si>
    <t>ventilador_cono_evo</t>
  </si>
  <si>
    <t>Ventilador industrial: medio ángulo (rad) del cono</t>
  </si>
  <si>
    <t>ventilador_barrido</t>
  </si>
  <si>
    <t>Ventilador de mesa: amplitud (rad) de la oscilación del cono</t>
  </si>
  <si>
    <t>ventilador_barrido_vel</t>
  </si>
  <si>
    <t>Ventilador de mesa: velocidad (rad/s) de la oscilación</t>
  </si>
  <si>
    <t>ventilador_empuje</t>
  </si>
  <si>
    <t>Ventilador de mesa: empuje (m/s por segundo) sobre los bichos del cono</t>
  </si>
  <si>
    <t>ventilador_empuje_evo</t>
  </si>
  <si>
    <t>Ventilador industrial: empuje (m/s por segundo)</t>
  </si>
  <si>
    <t>canicas_golpe_radio</t>
  </si>
  <si>
    <t>Resortera de canicas: radio (m) de golpe de cada canica</t>
  </si>
  <si>
    <t>canicas_rearme_s</t>
  </si>
  <si>
    <t>Resortera de canicas: segundos hasta que una canica puede volver a golpear al mismo bicho</t>
  </si>
  <si>
    <t>burbujas_abanico</t>
  </si>
  <si>
    <t>Pistola de burbujas: separación (rad) entre burbujas</t>
  </si>
  <si>
    <t>burbujas_salpica</t>
  </si>
  <si>
    <t>Pompas gigantes: radio (m, × área) de la salpicadura al reventar</t>
  </si>
  <si>
    <t>burbujas_salpica_dano</t>
  </si>
  <si>
    <t>Pompas gigantes: daño de la salpicadura como fracción del reventón</t>
  </si>
  <si>
    <t>matamoscas_cono</t>
  </si>
  <si>
    <t>Matamoscas eléctrico: coseno del medio ángulo del arco (0.5 = unos 120°)</t>
  </si>
  <si>
    <t>matamoscas_empuje</t>
  </si>
  <si>
    <t>Matamoscas eléctrico: empuje del golpe</t>
  </si>
  <si>
    <t>matamoscas_aturdido_mult</t>
  </si>
  <si>
    <t>Matamoscas eléctrico: multiplicador de daño contra bichos ya aturdidos</t>
  </si>
  <si>
    <t>dardos_pegados</t>
  </si>
  <si>
    <t>Lanzadardos de goma: dardos pegados en el mismo bicho para que exploten</t>
  </si>
  <si>
    <t>dardos_pegados_evo</t>
  </si>
  <si>
    <t>Dardos de pila: dardos pegados para que exploten</t>
  </si>
  <si>
    <t>dardos_abanico</t>
  </si>
  <si>
    <t>Lanzadardos de goma: separación (rad) entre dardos</t>
  </si>
  <si>
    <t>dardos_empuje</t>
  </si>
  <si>
    <t>Lanzadardos de goma: empuje de cada dardo</t>
  </si>
  <si>
    <t>dardos_explosion_mult</t>
  </si>
  <si>
    <t>Lanzadardos de goma: daño de la explosión como múltiplo del dardo</t>
  </si>
  <si>
    <t>chapitas_paso_m</t>
  </si>
  <si>
    <t>Trompo de chapitas: metros recorridos entre una chapita y la siguiente</t>
  </si>
  <si>
    <t>chapitas_usos</t>
  </si>
  <si>
    <t>Trompo de chapitas: pisotones que aguanta cada chapita</t>
  </si>
  <si>
    <t>chapitas_ralentiza_s</t>
  </si>
  <si>
    <t>Trompo de chapitas: segundos de ralentización de quien pisa</t>
  </si>
  <si>
    <t>chapitas_golpe_recarga_s</t>
  </si>
  <si>
    <t>Trompo de chapitas: segundos entre pisotones del mismo bicho</t>
  </si>
  <si>
    <t>paraguas_dist</t>
  </si>
  <si>
    <t>Paraguas giratorio: metros delante del auto (el segundo, atrás)</t>
  </si>
  <si>
    <t>paraguas_giro</t>
  </si>
  <si>
    <t>Paraguas giratorio: giro visual (rad/s)</t>
  </si>
  <si>
    <t>paraguas_empuje</t>
  </si>
  <si>
    <t>Paraguas giratorio: empuje del golpe</t>
  </si>
  <si>
    <t>paraguas_golpe_s</t>
  </si>
  <si>
    <t>Paraguas giratorio: segundos entre golpes al mismo bicho</t>
  </si>
  <si>
    <t>cohete_abanico</t>
  </si>
  <si>
    <t>Cohete de botella: separación (rad) entre cohetes de la misma tanda</t>
  </si>
  <si>
    <t>cohete_giro</t>
  </si>
  <si>
    <t>Cohete de botella: giro máximo hacia el blanco (rad/s)</t>
  </si>
  <si>
    <t>cohete_golpe_radio</t>
  </si>
  <si>
    <t>Cohete de botella: radio (m) de contacto para explotar</t>
  </si>
  <si>
    <t>serpentinas_abanico</t>
  </si>
  <si>
    <t>Serpentinas: separación (rad) entre cintas del abanico</t>
  </si>
  <si>
    <t>serpentinas_vida_s</t>
  </si>
  <si>
    <t>Serpentinas: segundos que se ve la cinta</t>
  </si>
  <si>
    <t>tambor_cada</t>
  </si>
  <si>
    <t>Tambor de hojalata: golpes por bombo (el bombo pega más)</t>
  </si>
  <si>
    <t>tambor_cada_evo</t>
  </si>
  <si>
    <t>Banda de hojalata: golpes por bombo</t>
  </si>
  <si>
    <t>tambor_bombo_mult</t>
  </si>
  <si>
    <t>Tambor de hojalata: multiplicador de daño del bombo</t>
  </si>
  <si>
    <t>tambor_bombo_area</t>
  </si>
  <si>
    <t>Tambor de hojalata: multiplicador de radio del bombo</t>
  </si>
  <si>
    <t>tambor_empuje</t>
  </si>
  <si>
    <t>Tambor de hojalata: empuje del bombo</t>
  </si>
  <si>
    <t>bobinas_paso_m</t>
  </si>
  <si>
    <t>Metros recorridos entre una bobina y la siguiente</t>
  </si>
  <si>
    <t>bobinas_seg_max</t>
  </si>
  <si>
    <t>Largo máximo (m) de un arco entre bobinas; más lejos no se unen</t>
  </si>
  <si>
    <t>bobinas_ralentiza_s</t>
  </si>
  <si>
    <t>Segundos de ralentización de quien cruza un arco</t>
  </si>
  <si>
    <t>bobinas_chispas_s</t>
  </si>
  <si>
    <t>Chispas visuales por segundo sobre los arcos</t>
  </si>
  <si>
    <t>trompo_estela_golpes_s</t>
  </si>
  <si>
    <t>Probabilidad de golpe por segundo dentro de un disco de la estela</t>
  </si>
  <si>
    <t>bocina_cono</t>
  </si>
  <si>
    <t>Coseno del medio ángulo del cono de la bocina (0.5 = unos 120°)</t>
  </si>
  <si>
    <t>globos_radio</t>
  </si>
  <si>
    <t>Globos de agua: radio (m, × área) en el que revienta la gomita</t>
  </si>
  <si>
    <t>globos_ralentiza_s</t>
  </si>
  <si>
    <t>Globos de agua: segundos que empapa</t>
  </si>
  <si>
    <t>globos_dano</t>
  </si>
  <si>
    <t>Globos de agua: daño de la salpicadura</t>
  </si>
  <si>
    <t>yoyoelec_cada_s</t>
  </si>
  <si>
    <t>Yo-yo eléctrico: segundos mínimos entre rayos</t>
  </si>
  <si>
    <t>yoyoelec_cadena</t>
  </si>
  <si>
    <t>Yo-yo eléctrico: enemigos que alcanza cada rayo</t>
  </si>
  <si>
    <t>yoyoelec_dano</t>
  </si>
  <si>
    <t>Yo-yo eléctrico: daño del rayo</t>
  </si>
  <si>
    <t>chispazo_cada_s</t>
  </si>
  <si>
    <t>Petardos eléctricos: segundos mínimos entre rayos</t>
  </si>
  <si>
    <t>chispazo_cadena</t>
  </si>
  <si>
    <t>Petardos eléctricos: enemigos que alcanza cada rayo</t>
  </si>
  <si>
    <t>chispazo_dano_mult</t>
  </si>
  <si>
    <t>Petardos eléctricos: daño del rayo, como fracción de la explosión</t>
  </si>
  <si>
    <t>anillo_cada_s</t>
  </si>
  <si>
    <t>Anillo de fuego: segundos entre fuegos sobre cada clip</t>
  </si>
  <si>
    <t>anillo_radio</t>
  </si>
  <si>
    <t>Anillo de fuego: radio (m, × área) de cada fuego</t>
  </si>
  <si>
    <t>anillo_fuego_s</t>
  </si>
  <si>
    <t>Anillo de fuego: segundos que dura cada fuego</t>
  </si>
  <si>
    <t>vapor_dano_mult</t>
  </si>
  <si>
    <t>Vapor: multiplicador de daño de las zonas en llamas</t>
  </si>
  <si>
    <t>vapor_radio_mult</t>
  </si>
  <si>
    <t>Vapor: multiplicador de radio de las zonas en llamas</t>
  </si>
  <si>
    <t>vapor_ralentiza_s</t>
  </si>
  <si>
    <t>Vapor: segundos de ralentización en la zona</t>
  </si>
  <si>
    <t>coop_vida_por_jugador</t>
  </si>
  <si>
    <t>ENCORE cooperativo: vida de bichos y jefes × (1 + valor × (jugadores - 1)); compensa las copias de armas de cada compañero</t>
  </si>
  <si>
    <t>coop_ritmo_por_jugador</t>
  </si>
  <si>
    <t>ENCORE cooperativo: aparición y tope de vivos de bichos × (1 + valor × (jugadores - 1))</t>
  </si>
  <si>
    <t>dureza_cantidad</t>
  </si>
  <si>
    <t>Multiplicador de la cantidad de bichos normales (aparición, tope de vivos y enjambres)</t>
  </si>
  <si>
    <t>dureza_vida</t>
  </si>
  <si>
    <t>Multiplicador de vida de los bichos normales (no afecta a los jefes)</t>
  </si>
  <si>
    <t>dureza_dano</t>
  </si>
  <si>
    <t>Multiplicador del daño por contacto de los bichos normales</t>
  </si>
  <si>
    <t>oferta_peso_propia</t>
  </si>
  <si>
    <t>Cartas de nivel: peso de sorteo de subir un arma que ya se tiene (1 = igual que una pasiva)</t>
  </si>
  <si>
    <t>oferta_peso_nueva</t>
  </si>
  <si>
    <t>Cartas de nivel: peso de sorteo de un arma nueva (solo sale si hay ranura libre)</t>
  </si>
  <si>
    <t>dureza_xp</t>
  </si>
  <si>
    <t>Multiplicador de las tuercas de XP que sueltan los bichos normales</t>
  </si>
  <si>
    <t>xp_temprana_s</t>
  </si>
  <si>
    <t>Hasta este segundo de partida la XP recogida se multiplica por xp_temprana_mult (rampa lenta)</t>
  </si>
  <si>
    <t>xp_temprana_mult</t>
  </si>
  <si>
    <t>Multiplicador de XP ganada en los primeros xp_temprana_s segundos</t>
  </si>
  <si>
    <t>vida_escala_seg</t>
  </si>
  <si>
    <t>Los bichos normales ganan +100% de vida cada tantos segundos: vida × (1 + t / valor)</t>
  </si>
  <si>
    <t>tope_vivos_base</t>
  </si>
  <si>
    <t>Bichos normales vivos permitidos al empezar (antes de la dureza)</t>
  </si>
  <si>
    <t>tope_vivos_seg</t>
  </si>
  <si>
    <t>Un bicho más de tope cada tantos segundos: tope = base + t / valor</t>
  </si>
  <si>
    <t>tope_vivos_pc</t>
  </si>
  <si>
    <t>Tope duro de bichos vivos en computadora</t>
  </si>
  <si>
    <t>tope_vivos_tactil</t>
  </si>
  <si>
    <t>Tope duro de bichos vivos en táctil</t>
  </si>
  <si>
    <t>spawn_base</t>
  </si>
  <si>
    <t>Aparición de bichos por segundo al empezar (antes de la dureza)</t>
  </si>
  <si>
    <t>spawn_seg</t>
  </si>
  <si>
    <t>La aparición crece con el tiempo: base + t / valor</t>
  </si>
  <si>
    <t>spawn_anillo_min</t>
  </si>
  <si>
    <t>Distancia mínima (m) al auto a la que aparecen los bichos</t>
  </si>
  <si>
    <t>spawn_anillo_max</t>
  </si>
  <si>
    <t>Distancia máxima (m) al auto a la que aparecen los bichos</t>
  </si>
  <si>
    <t>spawn_adelanto_s</t>
  </si>
  <si>
    <t>Segundos de adelanto: aparecen sesgados hacia donde va el auto</t>
  </si>
  <si>
    <t>reciclar_distancia</t>
  </si>
  <si>
    <t>Distancia (m) a la que un bicho normal lejano se recicla</t>
  </si>
  <si>
    <t>formacion_desde_s</t>
  </si>
  <si>
    <t>Segundo de la partida desde el que hay formaciones (columna o escolta)</t>
  </si>
  <si>
    <t>formacion_cada_min</t>
  </si>
  <si>
    <t>Segundos mínimos entre formaciones</t>
  </si>
  <si>
    <t>formacion_cada_rango</t>
  </si>
  <si>
    <t>Segundos extra al azar entre formaciones</t>
  </si>
  <si>
    <t>formacion_margen</t>
  </si>
  <si>
    <t>Solo hay formación si quedan al menos tantos lugares libres bajo el tope</t>
  </si>
  <si>
    <t>formacion_hormiga_prob</t>
  </si>
  <si>
    <t>Probabilidad de columna de hormigas (en vez de escarabajo con escolta)</t>
  </si>
  <si>
    <t>formacion_hormiga_hasta_s</t>
  </si>
  <si>
    <t>Hasta este segundo la formación es siempre columna de hormigas</t>
  </si>
  <si>
    <t>formacion_hormigas_base</t>
  </si>
  <si>
    <t>Hormigas de la columna al empezar</t>
  </si>
  <si>
    <t>formacion_hormigas_seg</t>
  </si>
  <si>
    <t>Una hormiga más en la columna cada tantos segundos</t>
  </si>
  <si>
    <t>formacion_escolta</t>
  </si>
  <si>
    <t>Autitos a fricción que escoltan al escarabajo</t>
  </si>
  <si>
    <t>formacion_vel</t>
  </si>
  <si>
    <t>Multiplicador de velocidad de los seguidores de una formación</t>
  </si>
  <si>
    <t>enjambre_primero_base</t>
  </si>
  <si>
    <t>Segundos fijos antes del primer enjambre</t>
  </si>
  <si>
    <t>enjambre_primero_mult</t>
  </si>
  <si>
    <t>El primer enjambre llega a base + este factor × el intervalo de la semilla</t>
  </si>
  <si>
    <t>enjambre_cada_min</t>
  </si>
  <si>
    <t>Segundos mínimos entre enjambres (la semilla suma al azar hasta el rango)</t>
  </si>
  <si>
    <t>enjambre_cada_rango</t>
  </si>
  <si>
    <t>Segundos extra al azar entre enjambres</t>
  </si>
  <si>
    <t>enjambre_base</t>
  </si>
  <si>
    <t>Hormigas del enjambre al empezar (antes de la dureza)</t>
  </si>
  <si>
    <t>enjambre_seg</t>
  </si>
  <si>
    <t>El enjambre suma una hormiga cada tantos segundos</t>
  </si>
  <si>
    <t>enjambre_radio</t>
  </si>
  <si>
    <t>Radio (m) del anillo en el que aparece el enjambre</t>
  </si>
  <si>
    <t>pelota_cada_min</t>
  </si>
  <si>
    <t>Segundos mínimos entre pelotas gigantes</t>
  </si>
  <si>
    <t>pelota_cada_rango</t>
  </si>
  <si>
    <t>Segundos extra al azar entre pelotas</t>
  </si>
  <si>
    <t>pelota_vel</t>
  </si>
  <si>
    <t>Velocidad (m/s) de la pelota</t>
  </si>
  <si>
    <t>pelota_masa</t>
  </si>
  <si>
    <t>Masa de la pelota</t>
  </si>
  <si>
    <t>pelota_diametro</t>
  </si>
  <si>
    <t>Diámetro (m) de la pelota; aplasta bichos normales a su paso</t>
  </si>
  <si>
    <t>pelota_vida_s</t>
  </si>
  <si>
    <t>Segundos que dura la pelota</t>
  </si>
  <si>
    <t>pelota_dano</t>
  </si>
  <si>
    <t>Daño que hace la pelota al auto</t>
  </si>
  <si>
    <t>cofre_cada_min</t>
  </si>
  <si>
    <t>Segundos mínimos entre cofres en el patio</t>
  </si>
  <si>
    <t>cofre_cada_rango</t>
  </si>
  <si>
    <t>Segundos extra al azar entre cofres</t>
  </si>
  <si>
    <t>jefe1_s</t>
  </si>
  <si>
    <t>Segundo en que llega el primer minijefe</t>
  </si>
  <si>
    <t>jefe2_s</t>
  </si>
  <si>
    <t>Segundo en que llega el segundo minijefe</t>
  </si>
  <si>
    <t>jefe_final_s</t>
  </si>
  <si>
    <t>Segundo en que llega el jefe final</t>
  </si>
  <si>
    <t>sinfin_cada_s</t>
  </si>
  <si>
    <t>Modo sin fin: segundos entre jefes repetidos</t>
  </si>
  <si>
    <t>sinfin_vida_div</t>
  </si>
  <si>
    <t>Modo sin fin: cada jefe repetido tiene vida × (t / valor)</t>
  </si>
  <si>
    <t>elite_desde_s</t>
  </si>
  <si>
    <t>Segundo desde el que pueden aparecer élites</t>
  </si>
  <si>
    <t>elite_tramo_s</t>
  </si>
  <si>
    <t>Segundos del tramo en el que se reparten las élites</t>
  </si>
  <si>
    <t>elite_cantidad_min</t>
  </si>
  <si>
    <t>Élites mínimas por partida</t>
  </si>
  <si>
    <t>elite_cantidad_rango</t>
  </si>
  <si>
    <t>Élites extra posibles por partida (2 = hay 2 o 3)</t>
  </si>
  <si>
    <t>elite_rapida_vel</t>
  </si>
  <si>
    <t>Élite rápida: multiplicador de velocidad</t>
  </si>
  <si>
    <t>elite_rapida_vida</t>
  </si>
  <si>
    <t>Élite rápida: multiplicador de vida</t>
  </si>
  <si>
    <t>elite_blindada_vida</t>
  </si>
  <si>
    <t>Élite blindada: multiplicador de vida</t>
  </si>
  <si>
    <t>elite_blindada_masa</t>
  </si>
  <si>
    <t>Élite blindada: multiplicador de masa (casi no se la empuja)</t>
  </si>
  <si>
    <t>gemas_tope</t>
  </si>
  <si>
    <t>Tuercas de XP en el piso; sobre el tope se absorben directo</t>
  </si>
  <si>
    <t>pickups_tope</t>
  </si>
  <si>
    <t>Pilas o imanes en el piso por tipo; sobre el tope desaparece el más viejo</t>
  </si>
  <si>
    <t>maceta_xp</t>
  </si>
  <si>
    <t>Tuercas de XP que suelta una maceta rota</t>
  </si>
  <si>
    <t>maceta_pila_prob</t>
  </si>
  <si>
    <t>Probabilidad de que una maceta suelte una pila</t>
  </si>
  <si>
    <t>drop_pila_prob</t>
  </si>
  <si>
    <t>Probabilidad de que un bicho normal suelte una pila</t>
  </si>
  <si>
    <t>drop_iman_prob</t>
  </si>
  <si>
    <t>Probabilidad de que un bicho normal suelte un imán</t>
  </si>
  <si>
    <t>pila_cura</t>
  </si>
  <si>
    <t>Vida que cura una pila</t>
  </si>
  <si>
    <t>carta_reparacion</t>
  </si>
  <si>
    <t>Vida que cura la carta Reparación</t>
  </si>
  <si>
    <t>nivel_max</t>
  </si>
  <si>
    <t>Nivel máximo de cada arma y de cada pasiva (evolución y fusión desde este nivel)</t>
  </si>
  <si>
    <t>xp_nivel_base</t>
  </si>
  <si>
    <t>XP para subir de nivel: piso(base + nivel × lineal + nivel² × cuad)</t>
  </si>
  <si>
    <t>xp_nivel_lineal</t>
  </si>
  <si>
    <t>Término lineal de la XP por nivel</t>
  </si>
  <si>
    <t>xp_nivel_cuad</t>
  </si>
  <si>
    <t>Término cuadrático de la XP por nivel</t>
  </si>
  <si>
    <t>tornillos_jefe</t>
  </si>
  <si>
    <t>Tornillos que suma cada jefe derrotado</t>
  </si>
  <si>
    <t>tornillos_div_tiempo</t>
  </si>
  <si>
    <t>Tornillos de la partida: 1 por cada tantos segundos sobrevividos</t>
  </si>
  <si>
    <t>tornillos_div_bajas</t>
  </si>
  <si>
    <t>Tornillos de la partida: 1 por cada tantas bajas (ya con la dureza de XP)</t>
  </si>
  <si>
    <t>maldicion_tornillos</t>
  </si>
  <si>
    <t>Maldiciones (ocultas hoy): tornillos extra por cada maldición activa</t>
  </si>
  <si>
    <t>maldicion_horda</t>
  </si>
  <si>
    <t>Maldición Horda: multiplicador de enemigos</t>
  </si>
  <si>
    <t>logro_gato_tornillos</t>
  </si>
  <si>
    <t>Premio en tornillos del logro Siete vidas</t>
  </si>
  <si>
    <t>logro_diario_tornillos</t>
  </si>
  <si>
    <t>Premio en tornillos del logro Rutina diaria</t>
  </si>
  <si>
    <t>lluvia_prob</t>
  </si>
  <si>
    <t>Fracción de semillas con lluvia</t>
  </si>
  <si>
    <t>lluvia_desde_min</t>
  </si>
  <si>
    <t>La lluvia empieza como pronto a esta fracción de la partida (0 = inicio, 1 = 10:00)</t>
  </si>
  <si>
    <t>lluvia_desde_max</t>
  </si>
  <si>
    <t>La lluvia empieza como tarde a esta fracción de la partida</t>
  </si>
  <si>
    <t>lluvia_agarre</t>
  </si>
  <si>
    <t>Multiplicador del agarre lateral con lluvia plena (menos = el auto patina más)</t>
  </si>
  <si>
    <t>lluvia_subida</t>
  </si>
  <si>
    <t>Qué tan rápido sube la intensidad de la lluvia al empezar (1/s)</t>
  </si>
  <si>
    <t>lluvia_empapa_s</t>
  </si>
  <si>
    <t>Segundos de lluvia hasta el suelo empapado y los charcos al máximo</t>
  </si>
  <si>
    <t>habilidad_bombardeo_cd</t>
  </si>
  <si>
    <t>Bombardeo de petardos: enfriamiento (s)</t>
  </si>
  <si>
    <t>habilidad_bombardeo_dur</t>
  </si>
  <si>
    <t>Bombardeo de petardos: segundos activa</t>
  </si>
  <si>
    <t>bombardeo_petardos</t>
  </si>
  <si>
    <t>Bombardeo de petardos: petardos que caen</t>
  </si>
  <si>
    <t>bombardeo_intervalo_s</t>
  </si>
  <si>
    <t>Bombardeo de petardos: segundos entre petardos</t>
  </si>
  <si>
    <t>bombardeo_radio</t>
  </si>
  <si>
    <t>Bombardeo de petardos: radio (m) de cada explosión</t>
  </si>
  <si>
    <t>bombardeo_dano</t>
  </si>
  <si>
    <t>Bombardeo de petardos: daño de cada explosión (× daño del equipo)</t>
  </si>
  <si>
    <t>habilidad_escudo_cd</t>
  </si>
  <si>
    <t>Escudo que cura: enfriamiento (s)</t>
  </si>
  <si>
    <t>habilidad_escudo_dur</t>
  </si>
  <si>
    <t>Escudo que cura: segundos activo (sin recibir daño)</t>
  </si>
  <si>
    <t>escudo_cura_s</t>
  </si>
  <si>
    <t>Escudo que cura: fracción de la vida máxima que recupera por segundo</t>
  </si>
  <si>
    <t>habilidad_emp_cd</t>
  </si>
  <si>
    <t>Pulso EMP: enfriamiento (s)</t>
  </si>
  <si>
    <t>habilidad_emp_dur</t>
  </si>
  <si>
    <t>Pulso EMP: segundos activo</t>
  </si>
  <si>
    <t>emp_radio</t>
  </si>
  <si>
    <t>Pulso EMP: radio (m) en el que aturde</t>
  </si>
  <si>
    <t>emp_aturde_s</t>
  </si>
  <si>
    <t>Pulso EMP: segundos de aturdimiento (los jefes no se aturden)</t>
  </si>
  <si>
    <t>habilidad_lenta_cd</t>
  </si>
  <si>
    <t>Cámara lenta: enfriamiento (s)</t>
  </si>
  <si>
    <t>habilidad_lenta_dur</t>
  </si>
  <si>
    <t>Cámara lenta: segundos activa</t>
  </si>
  <si>
    <t>habilidad_turbo_cd</t>
  </si>
  <si>
    <t>Turbo de plaza: enfriamiento (s)</t>
  </si>
  <si>
    <t>habilidad_turbo_dur</t>
  </si>
  <si>
    <t>Turbo de plaza: segundos activo</t>
  </si>
  <si>
    <t>turbo_hab_vel</t>
  </si>
  <si>
    <t>Turbo de plaza: multiplicador de velocidad máxima</t>
  </si>
  <si>
    <t>turbo_hab_embestida</t>
  </si>
  <si>
    <t>Turbo de plaza: multiplicador del daño de embestida</t>
  </si>
  <si>
    <t>habilidad_cd_nivel</t>
  </si>
  <si>
    <t>Mejora de habilidad (Taller): fracción de enfriamiento que baja por nivel</t>
  </si>
  <si>
    <t>habilidad_efecto_nivel</t>
  </si>
  <si>
    <t>Mejora de habilidad (Taller): fracción de efecto que sube por nivel (petardos, segundos de escudo, aturdido del EMP y de cámara lenta)</t>
  </si>
  <si>
    <t>lenta_mundo</t>
  </si>
  <si>
    <t>Cámara lenta: velocidad del mundo (el auto no se frena)</t>
  </si>
  <si>
    <t>turbo_gasto</t>
  </si>
  <si>
    <t>Turbo: carga que gasta por segundo (de 100)</t>
  </si>
  <si>
    <t>turbo_vel</t>
  </si>
  <si>
    <t>Turbo: multiplicador de velocidad máxima</t>
  </si>
  <si>
    <t>turbo_acel</t>
  </si>
  <si>
    <t>Turbo: multiplicador de aceleración</t>
  </si>
  <si>
    <t>turbo_umbral</t>
  </si>
  <si>
    <t>Turbo: carga mínima para poder usarlo</t>
  </si>
  <si>
    <t>derrape_agarre</t>
  </si>
  <si>
    <t>Derrape: agarre lateral mientras se derrapa</t>
  </si>
  <si>
    <t>derrape_giro</t>
  </si>
  <si>
    <t>Derrape: multiplicador de giro</t>
  </si>
  <si>
    <t>embestida_vel_min</t>
  </si>
  <si>
    <t>Velocidad mínima (m/s) hacia el enemigo para que cuente como embestida</t>
  </si>
  <si>
    <t>embestida_recarga_s</t>
  </si>
  <si>
    <t>Segundos entre embestidas al mismo enemigo</t>
  </si>
  <si>
    <t>embestida_turbo</t>
  </si>
  <si>
    <t>Multiplicador de embestida con turbo</t>
  </si>
  <si>
    <t>embestida_turbo_axel</t>
  </si>
  <si>
    <t>Multiplicador de embestida con turbo para Axel</t>
  </si>
  <si>
    <t>embestida_rebote_masa</t>
  </si>
  <si>
    <t>Embestir algo con más de tantas veces tu masa rebota y duele</t>
  </si>
  <si>
    <t>embestida_rebote</t>
  </si>
  <si>
    <t>Rebote horizontal al embestir algo más pesado: impulso = velocidad relativa × esto × masa del auto</t>
  </si>
  <si>
    <t>embestida_rebote_y</t>
  </si>
  <si>
    <t>Impulso vertical del rebote al embestir algo más pesado</t>
  </si>
  <si>
    <t>revive_vida</t>
  </si>
  <si>
    <t>Batería de reserva: fracción de la vida máxima con la que revive el auto</t>
  </si>
  <si>
    <t>revive_radio</t>
  </si>
  <si>
    <t>Batería de reserva: radio de la explosión al revivir</t>
  </si>
  <si>
    <t>revive_dano</t>
  </si>
  <si>
    <t>Batería de reserva: daño de la explosión al revivir</t>
  </si>
  <si>
    <t>contacto_dano</t>
  </si>
  <si>
    <t>Fracción del daño del bicho que se recibe por contacto o rebote</t>
  </si>
  <si>
    <t>contacto_recarga_s</t>
  </si>
  <si>
    <t>Segundos entre golpes de contacto de un mismo bicho</t>
  </si>
  <si>
    <t>contacto_invuln_s</t>
  </si>
  <si>
    <t>Segundos de invulnerabilidad tras un golpe de contacto</t>
  </si>
  <si>
    <t>contacto_jefe_empuje</t>
  </si>
  <si>
    <t>Empuje que da un jefe al auto al tocarlo</t>
  </si>
  <si>
    <t>contacto_empuje_bicho</t>
  </si>
  <si>
    <t>Empuje al bicho normal cuando daña por contacto (lo separa del auto)</t>
  </si>
  <si>
    <t>contacto_empuje_auto</t>
  </si>
  <si>
    <t>Empuje al auto al recibir daño por contacto (aleja del enjambre)</t>
  </si>
  <si>
    <t>lluvia_control</t>
  </si>
  <si>
    <t>Con lluvia activa y sin derrape: agarre extra × (1 + valor × (1 − intensidad lluvia))</t>
  </si>
  <si>
    <t>enemigo_separacion</t>
  </si>
  <si>
    <t>Radio (m) mínimo entre bichos normales cerca del auto; empuje suave si se superponen</t>
  </si>
  <si>
    <t>aviso_evento_s</t>
  </si>
  <si>
    <t>Segundos de anticipación de avisos de radio (enjambre, élite, lluvia, pelota)</t>
  </si>
  <si>
    <t>evento_cada_min_s</t>
  </si>
  <si>
    <t>Eventos de mitad de partida (modo normal): segundos mínimos entre un evento y el siguiente</t>
  </si>
  <si>
    <t>evento_cada_rango_s</t>
  </si>
  <si>
    <t>Eventos de mitad de partida: segundos extra al azar (semilla) sobre el mínimo; ~1 cada 3-4 min</t>
  </si>
  <si>
    <t>evento_aviso_s</t>
  </si>
  <si>
    <t>Eventos de mitad de partida: segundos de aviso en el HUD antes de empezar</t>
  </si>
  <si>
    <t>evento_lluvia_s</t>
  </si>
  <si>
    <t>Lluvia de tornillos: duración (s)</t>
  </si>
  <si>
    <t>evento_lluvia_cada_s</t>
  </si>
  <si>
    <t>Lluvia de tornillos: cada cuántos segundos cae un puñado cerca del auto</t>
  </si>
  <si>
    <t>evento_lluvia_xp</t>
  </si>
  <si>
    <t>Lluvia de tornillos: XP de cada puñado</t>
  </si>
  <si>
    <t>evento_invasion_s</t>
  </si>
  <si>
    <t>Invasión repentina: duración (s)</t>
  </si>
  <si>
    <t>evento_invasion_mult</t>
  </si>
  <si>
    <t>Invasión repentina: multiplicador del tope de vivos y de la tasa de aparición</t>
  </si>
  <si>
    <t>evento_apagon_s</t>
  </si>
  <si>
    <t>Apagón: duración (s); luz ambiente y sol bajan, queda el faro</t>
  </si>
  <si>
    <t>evento_apagon_oscuridad</t>
  </si>
  <si>
    <t>Apagón: cuánta luz se pierde (0-1); igual que el apagón previo a los jefes</t>
  </si>
  <si>
    <t>aviso_jefe_s</t>
  </si>
  <si>
    <t>Segundos de anticipación de radio antes de cada minijefe o jefe final</t>
  </si>
  <si>
    <t>salto_coyote_s</t>
  </si>
  <si>
    <t>Supervivencia: tras dejar el suelo (rampa/borde) aún se puede saltar (s); no es invulnerabilidad</t>
  </si>
  <si>
    <t>salto_rampa_v</t>
  </si>
  <si>
    <t>Supervivencia: impulso vertical extra en rampa = factor × pendiente × impulso base</t>
  </si>
  <si>
    <t>salto_rampa_h</t>
  </si>
  <si>
    <t>Supervivencia: impulso horizontal extra en rampa = factor × pendiente × impulso base</t>
  </si>
  <si>
    <t>combo_tope</t>
  </si>
  <si>
    <t>Combo de manejo: multiplicador máximo de XP</t>
  </si>
  <si>
    <t>combo_salto_limpio</t>
  </si>
  <si>
    <t>Combo de manejo: suma por un salto limpio</t>
  </si>
  <si>
    <t>combo_salto</t>
  </si>
  <si>
    <t>Combo de manejo: suma por un salto</t>
  </si>
  <si>
    <t>salto_cd_s</t>
  </si>
  <si>
    <t>Supervivencia: enfriamiento del salto del auto (s)</t>
  </si>
  <si>
    <t>salto_impulso_v</t>
  </si>
  <si>
    <t>Supervivencia: impulso vertical del salto (m/s × masa del cuerpo)</t>
  </si>
  <si>
    <t>salto_horiz</t>
  </si>
  <si>
    <t>Supervivencia: impulso horizontal extra = |velocidad| × este factor × masa</t>
  </si>
  <si>
    <t>combo_derrape</t>
  </si>
  <si>
    <t>Combo de manejo: suma por un derrape largo</t>
  </si>
  <si>
    <t>combo_derrape_s</t>
  </si>
  <si>
    <t>Combo de manejo: segundos de derrape para sumar</t>
  </si>
  <si>
    <t>combo_espera_s</t>
  </si>
  <si>
    <t>Combo de manejo: segundos sin trucos antes de que baje</t>
  </si>
  <si>
    <t>combo_baja_s</t>
  </si>
  <si>
    <t>Combo de manejo: cuánto baja por segundo</t>
  </si>
  <si>
    <t>tornillos_partida_tipica</t>
  </si>
  <si>
    <t>Tornillos de una partida típica: el Taller lo usa para decir cuántas partidas faltan para pagar algo</t>
  </si>
  <si>
    <t>luna_meteoros_desde_s</t>
  </si>
  <si>
    <t>Luna: segundo de partida de la primera lluvia de meteoritos (±15 s al azar)</t>
  </si>
  <si>
    <t>luna_meteoros_cada_s</t>
  </si>
  <si>
    <t>Luna: segundos entre el inicio de una lluvia de meteoritos y la siguiente (±15 s al azar)</t>
  </si>
  <si>
    <t>luna_meteoros_dur_s</t>
  </si>
  <si>
    <t>Luna: segundos que dura la lluvia (siguen cayendo los que ya salieron)</t>
  </si>
  <si>
    <t>luna_meteoros_por_s</t>
  </si>
  <si>
    <t>Luna: meteoritos por segundo durante la lluvia</t>
  </si>
  <si>
    <t>luna_meteoros_cerca_prob</t>
  </si>
  <si>
    <t>Luna: probabilidad de que un meteorito apunte a menos de 9 m del auto (el resto cae entre 9 y 35 m)</t>
  </si>
  <si>
    <t>luna_meteoro_aviso_s</t>
  </si>
  <si>
    <t>Luna: segundos entre la marca roja en el piso y el impacto</t>
  </si>
  <si>
    <t>luna_meteoro_caida_s</t>
  </si>
  <si>
    <t>Luna: segundos que el meteorito se ve bajar (los últimos del aviso)</t>
  </si>
  <si>
    <t>luna_meteoro_radio</t>
  </si>
  <si>
    <t>Luna: radio (m) del daño de un meteorito mediano (escala 0,75 a 1,25)</t>
  </si>
  <si>
    <t>luna_meteoro_dano</t>
  </si>
  <si>
    <t>Luna: daño al auto si un meteorito cae con el auto dentro del radio</t>
  </si>
  <si>
    <t>luna_meteoro_dano_bicho</t>
  </si>
  <si>
    <t>Luna: daño a los bichos dentro del radio de un meteorito</t>
  </si>
  <si>
    <t>luna_meteoro_crater_r</t>
  </si>
  <si>
    <t>Luna: radio (m) del cráter que deja un meteorito mediano</t>
  </si>
  <si>
    <t>luna_meteoro_crater_hondo</t>
  </si>
  <si>
    <t>Luna: profundidad (m) del cráter que deja un meteorito mediano</t>
  </si>
  <si>
    <t>luna_meteoro_humo_s</t>
  </si>
  <si>
    <t>Luna: segundos que humea un cráter de meteorito (tope 10 humeando a la vez)</t>
  </si>
  <si>
    <t>luna_tinte_s</t>
  </si>
  <si>
    <t>Luna: segundos que tarda el cielo y el mapa en teñirse de rojo (y en volver) con la lluvia de meteoritos</t>
  </si>
  <si>
    <t>luna_erupcion_desde_s</t>
  </si>
  <si>
    <t>Luna: segundo de partida de la primera erupción (±15 s al azar)</t>
  </si>
  <si>
    <t>luna_erupcion_cada_s</t>
  </si>
  <si>
    <t>Luna: segundos entre erupciones</t>
  </si>
  <si>
    <t>luna_erupcion_aviso_s</t>
  </si>
  <si>
    <t>Luna: segundos que el suelo se agrieta antes de la erupción</t>
  </si>
  <si>
    <t>luna_erupcion_dur_s</t>
  </si>
  <si>
    <t>Luna: segundos que la erupción se expande hasta su radio máximo (después 3 s de enfriado)</t>
  </si>
  <si>
    <t>luna_erupcion_radio</t>
  </si>
  <si>
    <t>Luna: radio máximo (m) de la zona de erupción</t>
  </si>
  <si>
    <t>luna_erupcion_dist</t>
  </si>
  <si>
    <t>Luna: distancia (m) de la falla al auto cuando se abre, hacia donde mira</t>
  </si>
  <si>
    <t>luna_erupcion_dano_s</t>
  </si>
  <si>
    <t>Luna: daño por segundo al auto dentro de la zona de erupción</t>
  </si>
  <si>
    <t>luna_erupcion_dano_bicho_s</t>
  </si>
  <si>
    <t>Luna: daño por segundo a los bichos dentro de la zona de erupción</t>
  </si>
  <si>
    <t>luna_astro_cada_s</t>
  </si>
  <si>
    <t>Luna: segundos entre lanzamientos del Sol o de la Tierra al empezar (corre solo mientras el astro está sobre el horizonte del auto; ±20 % al azar)</t>
  </si>
  <si>
    <t>luna_astro_horizonte</t>
  </si>
  <si>
    <t>Luna: altura mínima del astro sobre el horizonte del auto para que lance (producto escalar vertical·astro: 0 = en el horizonte, 1 = arriba)</t>
  </si>
  <si>
    <t>luna_astro_baja_por_min</t>
  </si>
  <si>
    <t>Luna: segundos que baja ese intervalo por minuto de partida</t>
  </si>
  <si>
    <t>luna_astro_cada_min_s</t>
  </si>
  <si>
    <t>Luna: piso del intervalo entre lanzamientos de un astro (s)</t>
  </si>
  <si>
    <t>luna_astro_vuelo_s</t>
  </si>
  <si>
    <t>Luna: segundos que tarda el proyectil del astro en caer (= duración del aviso en el piso)</t>
  </si>
  <si>
    <t>luna_astro_radio</t>
  </si>
  <si>
    <t>Luna: radio (m) del aviso y del daño del impacto del proyectil del astro</t>
  </si>
  <si>
    <t>luna_astro_dano</t>
  </si>
  <si>
    <t>Luna: daño al auto si el proyectil del astro cae con el auto dentro del radio</t>
  </si>
  <si>
    <t>luna_astro_dist_min</t>
  </si>
  <si>
    <t>Luna: distancia mínima (m) del impacto al auto</t>
  </si>
  <si>
    <t>luna_astro_dist_max</t>
  </si>
  <si>
    <t>Luna: distancia máxima (m) del impacto al auto</t>
  </si>
  <si>
    <t>luna_astro_crater_r</t>
  </si>
  <si>
    <t>Luna: radio (m) del cráter que deja el impacto</t>
  </si>
  <si>
    <t>luna_astro_crater_hondo</t>
  </si>
  <si>
    <t>Luna: profundidad (m) del cráter que deja el impacto</t>
  </si>
  <si>
    <t>luna_astro_bichos_cada_min</t>
  </si>
  <si>
    <t>Luna: cada cuántos minutos de partida sale un bicho más por impacto (1 al empezar)</t>
  </si>
  <si>
    <t>luna_aparicion_mult</t>
  </si>
  <si>
    <t>Luna: multiplicador de la aparición normal de bichos (en la esfera ningún bicho se pierde lejos y todos terminan llegando; además suman los del Sol, la Tierra y la nodriza)</t>
  </si>
  <si>
    <t>luna_tope_mult</t>
  </si>
  <si>
    <t>Luna: multiplicador del tope de bichos normales vivos (en la esfera llegan todos al auto: con el mismo tope hay más bajas y más experiencia que en el patio)</t>
  </si>
  <si>
    <t>luna_xp_mult</t>
  </si>
  <si>
    <t>Luna: multiplicador de la experiencia de los bichos normales (en la esfera todos terminan llegando al auto: con la misma experiencia por bicho se sube mucho más rápido que en el patio)</t>
  </si>
  <si>
    <t>bicho_lento_mult</t>
  </si>
  <si>
    <t>Velocidad de un bicho normal empapado o enfriado (multiplicador)</t>
  </si>
  <si>
    <t>jefe_lento_mult</t>
  </si>
  <si>
    <t>Velocidad de un jefe empapado o enfriado (multiplicador)</t>
  </si>
  <si>
    <t>fase2_vida</t>
  </si>
  <si>
    <t>Un jefe pasa a fase 2 con menos de esta fracción de su vida</t>
  </si>
  <si>
    <t>segunda_barra_vida</t>
  </si>
  <si>
    <t>Jefe final: al vaciar la primera barra ruge y se llena una segunda con esta fracción de su vida</t>
  </si>
  <si>
    <t>segunda_barra_dano</t>
  </si>
  <si>
    <t>Jefe final en la segunda barra: multiplicador del daño que hace al auto</t>
  </si>
  <si>
    <t>fase2_vel</t>
  </si>
  <si>
    <t>Fase 2: multiplicador de velocidad</t>
  </si>
  <si>
    <t>fase2_rugido_s</t>
  </si>
  <si>
    <t>Fase 2: segundos que ruge quieto</t>
  </si>
  <si>
    <t>acido_dano</t>
  </si>
  <si>
    <t>Daño de un escupitajo o una tuerca al auto</t>
  </si>
  <si>
    <t>acido_vel</t>
  </si>
  <si>
    <t>Velocidad (m/s) de escupitajos y tuercas</t>
  </si>
  <si>
    <t>salto_dano</t>
  </si>
  <si>
    <t>Daño del aplastón de los saltos (tarántula, Eulalio, Felipe) si el auto está dentro del radio</t>
  </si>
  <si>
    <t>salto_radio</t>
  </si>
  <si>
    <t>Radio (m) del aplastón de los saltos</t>
  </si>
  <si>
    <t>salto_aplasta_radio</t>
  </si>
  <si>
    <t>Radio (m) en el que el aplastón liquida a los bichos normales</t>
  </si>
  <si>
    <t>robot_carga_s</t>
  </si>
  <si>
    <t>Robot a cuerda: segundos que sale disparado</t>
  </si>
  <si>
    <t>robot_pausa_s</t>
  </si>
  <si>
    <t>Robot a cuerda: segundos que apunta quieto antes de cargar</t>
  </si>
  <si>
    <t>cortadora_carga_s</t>
  </si>
  <si>
    <t>Cortadora: segundos que carga en línea recta</t>
  </si>
  <si>
    <t>cortadora_pausa_s</t>
  </si>
  <si>
    <t>Cortadora: segundos que apunta quieta antes de cargar</t>
  </si>
  <si>
    <t>escupidora_distancia</t>
  </si>
  <si>
    <t>Escupidora: distancia (m) a la que se frena para escupir</t>
  </si>
  <si>
    <t>escupidora_cada_s</t>
  </si>
  <si>
    <t>Escupidora: segundos entre escupitajos</t>
  </si>
  <si>
    <t>escarabajo_distancia</t>
  </si>
  <si>
    <t>Escarabajo: distancia (m) a la que embiste</t>
  </si>
  <si>
    <t>escarabajo_vel_mult</t>
  </si>
  <si>
    <t>Escarabajo: multiplicador de velocidad de la embestida</t>
  </si>
  <si>
    <t>escarabajo_espera_s</t>
  </si>
  <si>
    <t>Escarabajo: segundos de espera tras una embestida</t>
  </si>
  <si>
    <t>grillo_salto_alcance</t>
  </si>
  <si>
    <t>Grillo: distancia (m) a la que se agacha para saltar</t>
  </si>
  <si>
    <t>grillo_aviso_s</t>
  </si>
  <si>
    <t>Grillo: segundos agachado antes de saltar</t>
  </si>
  <si>
    <t>grillo_salto_vel</t>
  </si>
  <si>
    <t>Grillo: velocidad horizontal (m/s) del salto</t>
  </si>
  <si>
    <t>grillo_salto_alto</t>
  </si>
  <si>
    <t>Grillo: impulso vertical (m/s) del salto</t>
  </si>
  <si>
    <t>grillo_vuelo_s</t>
  </si>
  <si>
    <t>Grillo: segundos en el aire (sin corregir rumbo)</t>
  </si>
  <si>
    <t>grillo_cada_s</t>
  </si>
  <si>
    <t>Grillo: segundos entre saltos</t>
  </si>
  <si>
    <t>babosa_alcance</t>
  </si>
  <si>
    <t>Babosa: distancia (m) a la que se planta a escupir</t>
  </si>
  <si>
    <t>babosa_aviso_s</t>
  </si>
  <si>
    <t>Babosa: segundos quieta antes de escupir</t>
  </si>
  <si>
    <t>babosa_cada_s</t>
  </si>
  <si>
    <t>Babosa: segundos entre flemas</t>
  </si>
  <si>
    <t>babosa_flema_vel</t>
  </si>
  <si>
    <t>Babosa: velocidad (m/s) de la flema (lenta, se esquiva)</t>
  </si>
  <si>
    <t>babosa_flema_escala</t>
  </si>
  <si>
    <t>Babosa: tamaño de la flema respecto del escupitajo</t>
  </si>
  <si>
    <t>babosa_dano</t>
  </si>
  <si>
    <t>Babosa: daño de la flema al auto</t>
  </si>
  <si>
    <t>mosca_zigzag_ang</t>
  </si>
  <si>
    <t>Mosca: desvío máximo (rad) del rumbo en el zigzag</t>
  </si>
  <si>
    <t>mosca_zigzag_hz</t>
  </si>
  <si>
    <t>Mosca: velocidad angular (rad/s) del zigzag</t>
  </si>
  <si>
    <t>polilla_picada_vel</t>
  </si>
  <si>
    <t>Polilla: multiplicador de velocidad al lanzarse contra el auto</t>
  </si>
  <si>
    <t>polilla_picada_s</t>
  </si>
  <si>
    <t>Polilla: segundos que dura la picada</t>
  </si>
  <si>
    <t>polilla_vuelo_min</t>
  </si>
  <si>
    <t>Polilla: segundos mínimos revoloteando entre picadas</t>
  </si>
  <si>
    <t>polilla_vuelo_rango</t>
  </si>
  <si>
    <t>Polilla: segundos extra al azar entre picadas</t>
  </si>
  <si>
    <t>tarantula_rafaga_radio</t>
  </si>
  <si>
    <t>Tarántula: radio (m) del aro de la ráfaga</t>
  </si>
  <si>
    <t>tarantula_rafaga_aviso_s</t>
  </si>
  <si>
    <t>Tarántula: segundos de aviso de la ráfaga</t>
  </si>
  <si>
    <t>tarantula_rafaga_n</t>
  </si>
  <si>
    <t>Tarántula: escupitajos por ráfaga</t>
  </si>
  <si>
    <t>tarantula_rafaga_intervalo_s</t>
  </si>
  <si>
    <t>Tarántula: segundos entre escupitajos</t>
  </si>
  <si>
    <t>tarantula_rafaga_descanso_s</t>
  </si>
  <si>
    <t>Tarántula: segundos de descanso tras la ráfaga</t>
  </si>
  <si>
    <t>tarantula_salto_aviso_s</t>
  </si>
  <si>
    <t>Tarántula: segundos de aviso del salto</t>
  </si>
  <si>
    <t>tarantula_salto_alcance</t>
  </si>
  <si>
    <t>Tarántula: alcance máximo (m) del salto</t>
  </si>
  <si>
    <t>tarantula_salto_descanso_s</t>
  </si>
  <si>
    <t>Tarántula: segundos de descanso tras el salto</t>
  </si>
  <si>
    <t>tarantula_prob_rafaga</t>
  </si>
  <si>
    <t>Tarántula: probabilidad de elegir la ráfaga (si no, salta)</t>
  </si>
  <si>
    <t>aspiradora_radio</t>
  </si>
  <si>
    <t>Aspiradora: radio (m) del aro de succión</t>
  </si>
  <si>
    <t>aspiradora_aviso_s</t>
  </si>
  <si>
    <t>Aspiradora: segundos de aviso de la succión</t>
  </si>
  <si>
    <t>aspiradora_succion_s</t>
  </si>
  <si>
    <t>Aspiradora: segundos que succiona</t>
  </si>
  <si>
    <t>aspiradora_succion_vel</t>
  </si>
  <si>
    <t>Aspiradora: velocidad (m/s) mientras succiona</t>
  </si>
  <si>
    <t>aspiradora_succion_min</t>
  </si>
  <si>
    <t>Aspiradora: aceleración (m/s²) de succión en el borde del aro</t>
  </si>
  <si>
    <t>aspiradora_succion_extra</t>
  </si>
  <si>
    <t>Aspiradora: aceleración extra (m/s²) de succión pegada al centro</t>
  </si>
  <si>
    <t>aspiradora_tuercas_aviso_s</t>
  </si>
  <si>
    <t>Aspiradora: segundos de aviso de las tuercas</t>
  </si>
  <si>
    <t>aspiradora_rafagas</t>
  </si>
  <si>
    <t>Aspiradora: ráfagas de tuercas por ciclo</t>
  </si>
  <si>
    <t>aspiradora_rafaga_intervalo_s</t>
  </si>
  <si>
    <t>Aspiradora: segundos entre ráfagas</t>
  </si>
  <si>
    <t>aspiradora_abanico_n</t>
  </si>
  <si>
    <t>Aspiradora: tuercas por ráfaga</t>
  </si>
  <si>
    <t>aspiradora_abanico_ang</t>
  </si>
  <si>
    <t>Aspiradora: separación (rad) entre tuercas</t>
  </si>
  <si>
    <t>aspiradora_descanso_s</t>
  </si>
  <si>
    <t>Aspiradora: segundos de descanso entre ciclos</t>
  </si>
  <si>
    <t>proyector_distancia</t>
  </si>
  <si>
    <t>Proyector: distancia (m) a la que se planta para proyectar</t>
  </si>
  <si>
    <t>proyector_abanico_aviso_s</t>
  </si>
  <si>
    <t>Proyector: segundos de aviso del abanico de luz (aro chico)</t>
  </si>
  <si>
    <t>proyector_abanico_n</t>
  </si>
  <si>
    <t>Proyector: tuercas del abanico</t>
  </si>
  <si>
    <t>proyector_abanico_ang</t>
  </si>
  <si>
    <t>Proyector: separación (rad) entre tuercas del abanico</t>
  </si>
  <si>
    <t>proyector_anillo_aviso_s</t>
  </si>
  <si>
    <t>Proyector: segundos de aviso del anillo de luz (aro grande)</t>
  </si>
  <si>
    <t>proyector_anillo_radio</t>
  </si>
  <si>
    <t>Proyector: radio (m) del aro de aviso del anillo</t>
  </si>
  <si>
    <t>proyector_anillo_n</t>
  </si>
  <si>
    <t>Proyector: tuercas del anillo (reparto en 360 grados)</t>
  </si>
  <si>
    <t>proyector_prob_anillo</t>
  </si>
  <si>
    <t>Proyector: probabilidad de elegir el anillo (si no, abanico)</t>
  </si>
  <si>
    <t>proyector_descanso_s</t>
  </si>
  <si>
    <t>Proyector: segundos de descanso entre proyecciones</t>
  </si>
  <si>
    <t>grua_distancia</t>
  </si>
  <si>
    <t>Grúa de feria: distancia (m) a la que empieza a atacar</t>
  </si>
  <si>
    <t>grua_prob_riel</t>
  </si>
  <si>
    <t>Grúa de feria: probabilidad de elegir el riel (si no, la garra)</t>
  </si>
  <si>
    <t>grua_riel_aviso_s</t>
  </si>
  <si>
    <t>Grúa de feria: segundos que marca el carril rojo antes de embestir</t>
  </si>
  <si>
    <t>grua_riel_vel</t>
  </si>
  <si>
    <t>Grúa de feria: velocidad (m/s) de la embestida del riel</t>
  </si>
  <si>
    <t>grua_riel_largo</t>
  </si>
  <si>
    <t>Grúa de feria: largo (m) del carril del riel</t>
  </si>
  <si>
    <t>grua_riel_ancho</t>
  </si>
  <si>
    <t>Grúa de feria: ancho (m) del carril del riel</t>
  </si>
  <si>
    <t>grua_riel_frenada_s</t>
  </si>
  <si>
    <t>Grúa de feria: segundos que patina al frenar</t>
  </si>
  <si>
    <t>grua_riel_descanso_s</t>
  </si>
  <si>
    <t>Grúa de feria: segundos de pausa tras frenar</t>
  </si>
  <si>
    <t>grua_garra_aviso_s</t>
  </si>
  <si>
    <t>Grúa de feria: segundos de aviso de la garra (el aro rojo se cierra)</t>
  </si>
  <si>
    <t>grua_garra_radio</t>
  </si>
  <si>
    <t>Grúa de feria: radio (m) inicial del aro de la garra, se cierra hasta el mínimo</t>
  </si>
  <si>
    <t>grua_garra_radio_min</t>
  </si>
  <si>
    <t>Grúa de feria: radio (m) final del aro de la garra</t>
  </si>
  <si>
    <t>grua_garra_rafagas</t>
  </si>
  <si>
    <t>Grúa de feria: ráfagas de chatarra en espiral por garra</t>
  </si>
  <si>
    <t>grua_garra_rafaga_n</t>
  </si>
  <si>
    <t>Grúa de feria: tuercas por ráfaga de la garra (reparto en 360 grados)</t>
  </si>
  <si>
    <t>grua_garra_giro</t>
  </si>
  <si>
    <t>Grúa de feria: giro (rad) de cada ráfaga respecto de la anterior</t>
  </si>
  <si>
    <t>grua_garra_intervalo_s</t>
  </si>
  <si>
    <t>Grúa de feria: segundos entre ráfagas de la garra</t>
  </si>
  <si>
    <t>grua_garra_descanso_s</t>
  </si>
  <si>
    <t>Grúa de feria: segundos de descanso tras la garra</t>
  </si>
  <si>
    <t>payaso_distancia</t>
  </si>
  <si>
    <t>Payaso de resorte: distancia (m) a la que empieza a saltar</t>
  </si>
  <si>
    <t>payaso_aviso_s</t>
  </si>
  <si>
    <t>Payaso de resorte: segundos de aviso del aro rojo antes del salto</t>
  </si>
  <si>
    <t>payaso_descanso_s</t>
  </si>
  <si>
    <t>Payaso de resorte: segundos de pausa tras aterrizar</t>
  </si>
  <si>
    <t>limpiafondos_radio</t>
  </si>
  <si>
    <t>Limpiafondos: radio (m) del aro de succión</t>
  </si>
  <si>
    <t>limpiafondos_aviso_s</t>
  </si>
  <si>
    <t>Limpiafondos: segundos de aviso de la succión</t>
  </si>
  <si>
    <t>limpiafondos_succion_s</t>
  </si>
  <si>
    <t>Limpiafondos: segundos que aspira</t>
  </si>
  <si>
    <t>limpiafondos_succion_vel</t>
  </si>
  <si>
    <t>Limpiafondos: velocidad (m/s) mientras aspira</t>
  </si>
  <si>
    <t>limpiafondos_succion_min</t>
  </si>
  <si>
    <t>Limpiafondos: aceleración (m/s²) de succión en el borde del aro</t>
  </si>
  <si>
    <t>limpiafondos_succion_extra</t>
  </si>
  <si>
    <t>Limpiafondos: aceleración extra (m/s²) de succión pegada al centro</t>
  </si>
  <si>
    <t>limpiafondos_escupe_aviso_s</t>
  </si>
  <si>
    <t>Limpiafondos: segundos de aviso del agua sucia</t>
  </si>
  <si>
    <t>limpiafondos_rafagas</t>
  </si>
  <si>
    <t>Limpiafondos: ráfagas de agua sucia por ciclo</t>
  </si>
  <si>
    <t>limpiafondos_rafaga_intervalo_s</t>
  </si>
  <si>
    <t>Limpiafondos: segundos entre ráfagas</t>
  </si>
  <si>
    <t>limpiafondos_abanico_n</t>
  </si>
  <si>
    <t>Limpiafondos: chorros por ráfaga</t>
  </si>
  <si>
    <t>limpiafondos_abanico_ang</t>
  </si>
  <si>
    <t>Limpiafondos: separación (rad) entre chorros</t>
  </si>
  <si>
    <t>limpiafondos_barrido</t>
  </si>
  <si>
    <t>Limpiafondos: giro (rad) del abanico entre ráfagas: barre de lado a lado</t>
  </si>
  <si>
    <t>limpiafondos_descanso_s</t>
  </si>
  <si>
    <t>Limpiafondos: segundos de descanso entre ciclos</t>
  </si>
  <si>
    <t>muneco_distancia</t>
  </si>
  <si>
    <t>Muñeco de ventrílocuo: distancia (m) al auto a la que empieza a teletransportarse</t>
  </si>
  <si>
    <t>muneco_aviso_s</t>
  </si>
  <si>
    <t>Muñeco de ventrílocuo: segundos de aviso (aro rojo en el baúl de destino) antes de teletransportarse</t>
  </si>
  <si>
    <t>muneco_descanso_s</t>
  </si>
  <si>
    <t>Muñeco de ventrílocuo: segundos de pausa tras decir su frase</t>
  </si>
  <si>
    <t>muneco_voz_n</t>
  </si>
  <si>
    <t>Muñeco de ventrílocuo: proyectiles de voz por frase</t>
  </si>
  <si>
    <t>muneco_voz_n_f2</t>
  </si>
  <si>
    <t>Muñeco de ventrílocuo, enojado: proyectiles de voz por frase</t>
  </si>
  <si>
    <t>muneco_voz_ang</t>
  </si>
  <si>
    <t>Muñeco de ventrílocuo: separación (rad) entre proyectiles de voz</t>
  </si>
  <si>
    <t>muneco_voz_vel</t>
  </si>
  <si>
    <t>Muñeco de ventrílocuo: velocidad (m/s) de la voz</t>
  </si>
  <si>
    <t>muneco_voz_rebotes</t>
  </si>
  <si>
    <t>Muñeco de ventrílocuo: rebotes de la voz contra las paredes</t>
  </si>
  <si>
    <t>muneco_voz_dano</t>
  </si>
  <si>
    <t>Muñeco de ventrílocuo: daño de un proyectil de voz</t>
  </si>
  <si>
    <t>muneco_copias</t>
  </si>
  <si>
    <t>Muñeco de ventrílocuo: copias falsas al enojarse</t>
  </si>
  <si>
    <t>falso_vida_s</t>
  </si>
  <si>
    <t>Muñeco falso: segundos antes de deshacerse solo</t>
  </si>
  <si>
    <t>cortacercos_distancia</t>
  </si>
  <si>
    <t>Cortacercos: distancia (m) a la que anuncia el barrido</t>
  </si>
  <si>
    <t>cortacercos_aviso_s</t>
  </si>
  <si>
    <t>Cortacercos: segundos de aviso del barrido</t>
  </si>
  <si>
    <t>cortacercos_radio</t>
  </si>
  <si>
    <t>Cortacercos: radio (m) del barrido</t>
  </si>
  <si>
    <t>cortacercos_descanso_s</t>
  </si>
  <si>
    <t>Cortacercos: segundos de descanso tras barrer</t>
  </si>
  <si>
    <t>cortacercos_siembra_s</t>
  </si>
  <si>
    <t>Cortacercos: segundos sin barrer tras los que siembra un cable igual</t>
  </si>
  <si>
    <t>cortacercos_cable_vida_s</t>
  </si>
  <si>
    <t>Cortacercos: segundos que dura un cable en el piso</t>
  </si>
  <si>
    <t>cortacercos_cables_max</t>
  </si>
  <si>
    <t>Cortacercos: cables simultáneos</t>
  </si>
  <si>
    <t>cortacercos_barrido_dano</t>
  </si>
  <si>
    <t>Cortacercos: daño del barrido</t>
  </si>
  <si>
    <t>cortacercos_cable_dano</t>
  </si>
  <si>
    <t>Cortacercos: daño de pisar un cable</t>
  </si>
  <si>
    <t>cortacercos_cable_recarga_s</t>
  </si>
  <si>
    <t>Cortacercos: segundos entre descargas de un cable</t>
  </si>
  <si>
    <t>caja_distancia</t>
  </si>
  <si>
    <t>Caja de música: distancia (m) a la que empieza a atacar</t>
  </si>
  <si>
    <t>caja_onda_aviso_s</t>
  </si>
  <si>
    <t>Caja de música: segundos de aviso (aro rojo) antes de las ondas de sonido</t>
  </si>
  <si>
    <t>caja_onda_radio</t>
  </si>
  <si>
    <t>Caja de música: radio máximo (m) de las ondas y del aro de aviso</t>
  </si>
  <si>
    <t>caja_onda_n</t>
  </si>
  <si>
    <t>Caja de música: ondas por ataque (hay que saltarlas)</t>
  </si>
  <si>
    <t>caja_onda_n_f2</t>
  </si>
  <si>
    <t>Caja de música, segunda barra: ondas por ataque</t>
  </si>
  <si>
    <t>caja_onda_vel</t>
  </si>
  <si>
    <t>Caja de música: velocidad (m/s) con que crece una onda</t>
  </si>
  <si>
    <t>caja_onda_intervalo_s</t>
  </si>
  <si>
    <t>Caja de música: segundos entre una onda y la siguiente</t>
  </si>
  <si>
    <t>caja_onda_ancho</t>
  </si>
  <si>
    <t>Caja de música: ancho (m) de la banda de una onda; hay que estar en el aire</t>
  </si>
  <si>
    <t>caja_onda_dano</t>
  </si>
  <si>
    <t>Caja de música: daño de una onda</t>
  </si>
  <si>
    <t>caja_bail_aviso_s</t>
  </si>
  <si>
    <t>Caja de música: segundos de aviso antes de soltar a las bailarinas</t>
  </si>
  <si>
    <t>caja_bail_n</t>
  </si>
  <si>
    <t>Caja de música: bailarinas que giran</t>
  </si>
  <si>
    <t>caja_bail_n_f2</t>
  </si>
  <si>
    <t>Caja de música, segunda barra: bailarinas que giran</t>
  </si>
  <si>
    <t>caja_bail_radio_min</t>
  </si>
  <si>
    <t>Caja de música: radio (m) mínimo del giro de las bailarinas</t>
  </si>
  <si>
    <t>caja_bail_radio_max</t>
  </si>
  <si>
    <t>Caja de música: radio (m) máximo del giro de las bailarinas (zona del aviso)</t>
  </si>
  <si>
    <t>caja_bail_dur_s</t>
  </si>
  <si>
    <t>Caja de música: segundos que giran las bailarinas</t>
  </si>
  <si>
    <t>caja_bail_giro</t>
  </si>
  <si>
    <t>Caja de música: giro (rad/s) de las bailarinas</t>
  </si>
  <si>
    <t>caja_bail_dano</t>
  </si>
  <si>
    <t>Caja de música: daño del roce de una bailarina</t>
  </si>
  <si>
    <t>caja_bail_recarga_s</t>
  </si>
  <si>
    <t>Caja de música: segundos entre roces de bailarina</t>
  </si>
  <si>
    <t>caja_descanso_s</t>
  </si>
  <si>
    <t>Caja de música: segundos de descanso entre ataques</t>
  </si>
  <si>
    <t>gato_distancia</t>
  </si>
  <si>
    <t>Eulalio: distancia (m) a la que empieza a atacar</t>
  </si>
  <si>
    <t>gato_prob_salto</t>
  </si>
  <si>
    <t>Eulalio: probabilidad de saltar</t>
  </si>
  <si>
    <t>gato_prob_trompo</t>
  </si>
  <si>
    <t>Eulalio: probabilidad de trompo (el resto es arranque)</t>
  </si>
  <si>
    <t>gato_salto_aviso_s</t>
  </si>
  <si>
    <t>Eulalio: segundos de aviso del salto</t>
  </si>
  <si>
    <t>gato_salto_alcance</t>
  </si>
  <si>
    <t>Eulalio: alcance máximo (m) del salto</t>
  </si>
  <si>
    <t>gato_salto_descanso_s</t>
  </si>
  <si>
    <t>Eulalio: segundos de descanso tras el salto</t>
  </si>
  <si>
    <t>gato_trompo_aviso_s</t>
  </si>
  <si>
    <t>Eulalio: segundos de aviso del trompo</t>
  </si>
  <si>
    <t>gato_trompo_s</t>
  </si>
  <si>
    <t>Eulalio: segundos que rueda</t>
  </si>
  <si>
    <t>gato_trompo_vel</t>
  </si>
  <si>
    <t>Eulalio: velocidad (m/s) del trompo</t>
  </si>
  <si>
    <t>gato_trompo_pausa_min</t>
  </si>
  <si>
    <t>Eulalio: segundos mínimos de pausa tras el trompo</t>
  </si>
  <si>
    <t>gato_trompo_pausa_rango</t>
  </si>
  <si>
    <t>Eulalio: segundos extra al azar tras el trompo</t>
  </si>
  <si>
    <t>gato_arranque_aviso_s</t>
  </si>
  <si>
    <t>Eulalio: segundos de aviso del arranque</t>
  </si>
  <si>
    <t>gato_arranque_vel</t>
  </si>
  <si>
    <t>Eulalio: velocidad (m/s) del arranque</t>
  </si>
  <si>
    <t>gato_arranque_pausa_min</t>
  </si>
  <si>
    <t>Eulalio: segundos mínimos de pausa tras el arranque</t>
  </si>
  <si>
    <t>gato_arranque_pausa_rango</t>
  </si>
  <si>
    <t>Eulalio: segundos extra al azar tras el arranque</t>
  </si>
  <si>
    <t>gato_maullido_cada_s</t>
  </si>
  <si>
    <t>Eulalio (fase 2): segundos entre maullidos que llaman polillas</t>
  </si>
  <si>
    <t>gato_maullido_polillas</t>
  </si>
  <si>
    <t>Eulalio (fase 2): polillas por maullido</t>
  </si>
  <si>
    <t>perro_distancia</t>
  </si>
  <si>
    <t>Felipe: distancia (m) a la que empieza a atacar</t>
  </si>
  <si>
    <t>perro_prob_salto</t>
  </si>
  <si>
    <t>Felipe: probabilidad de saltar</t>
  </si>
  <si>
    <t>perro_prob_embestida</t>
  </si>
  <si>
    <t>Felipe: probabilidad de embestir</t>
  </si>
  <si>
    <t>perro_prob_zoomies</t>
  </si>
  <si>
    <t>Felipe: probabilidad de zoomies (el resto es giro)</t>
  </si>
  <si>
    <t>perro_salto_alcance</t>
  </si>
  <si>
    <t>Felipe: alcance máximo (m) del salto</t>
  </si>
  <si>
    <t>perro_salto_descanso_s</t>
  </si>
  <si>
    <t>Felipe: segundos del salto antes de la próxima decisión</t>
  </si>
  <si>
    <t>perro_salto_descanso_furia_s</t>
  </si>
  <si>
    <t>Felipe (fase 2): ídem</t>
  </si>
  <si>
    <t>perro_zoomies_s</t>
  </si>
  <si>
    <t>Felipe: segundos de zoomies</t>
  </si>
  <si>
    <t>perro_zoomies_vel</t>
  </si>
  <si>
    <t>Felipe: multiplicador de velocidad de los zoomies</t>
  </si>
  <si>
    <t>perro_giro_s</t>
  </si>
  <si>
    <t>Felipe: segundos de giro</t>
  </si>
  <si>
    <t>perro_pausa_s</t>
  </si>
  <si>
    <t>Felipe: segundos de pausa tras zoomies o giro</t>
  </si>
  <si>
    <t>perro_embestida_aviso_s</t>
  </si>
  <si>
    <t>Felipe: segundos que apunta antes de embestir</t>
  </si>
  <si>
    <t>perro_embestida_aviso_furia_s</t>
  </si>
  <si>
    <t>perro_embestida_vel</t>
  </si>
  <si>
    <t>Felipe: velocidad (m/s) de la embestida</t>
  </si>
  <si>
    <t>perro_embestida_largo</t>
  </si>
  <si>
    <t>Felipe: largo (m) de la carga</t>
  </si>
  <si>
    <t>perro_embestida_ancho</t>
  </si>
  <si>
    <t>Felipe: ancho (m) del carril de la embestida</t>
  </si>
  <si>
    <t>perro_embestida_frenada_s</t>
  </si>
  <si>
    <t>Felipe: segundos que patina al frenar</t>
  </si>
  <si>
    <t>perro_embestida_pausa_s</t>
  </si>
  <si>
    <t>Felipe: segundos de pausa tras frenar</t>
  </si>
  <si>
    <t>nave_nodriza_primera_s</t>
  </si>
  <si>
    <t>Luna: segundo de la partida en que llega la primera nave nodriza</t>
  </si>
  <si>
    <t>nave_nodriza_cada_s</t>
  </si>
  <si>
    <t>Luna: segundos entre que se va la nodriza y vuelve</t>
  </si>
  <si>
    <t>nave_nodriza_dura_s</t>
  </si>
  <si>
    <t>Luna: segundos que la nodriza persigue al auto antes de irse</t>
  </si>
  <si>
    <t>nave_nodriza_vida</t>
  </si>
  <si>
    <t>Luna: daño que echa a la nodriza antes de tiempo (crece con la partida: × (1 + minuto/10))</t>
  </si>
  <si>
    <t>nave_nodriza_premio_xp</t>
  </si>
  <si>
    <t>Luna: experiencia en gemas que suelta la nodriza echada (más un cofre)</t>
  </si>
  <si>
    <t>nave_blanco_cerca</t>
  </si>
  <si>
    <t>Luna: si hay bichos a menos de estos metros del auto, las armas con objetivo los prefieren y la nave no es blanco</t>
  </si>
  <si>
    <t>nave_nodriza_alt</t>
  </si>
  <si>
    <t>Luna: altura (m) a la que vuela la nodriza</t>
  </si>
  <si>
    <t>nave_nodriza_vel</t>
  </si>
  <si>
    <t>Luna: velocidad (m/s) con que la nodriza persigue al auto</t>
  </si>
  <si>
    <t>nave_nodriza_disparo_cada_s</t>
  </si>
  <si>
    <t>Luna: segundos entre orbes de la nodriza</t>
  </si>
  <si>
    <t>nave_nodriza_suelta_cada_s</t>
  </si>
  <si>
    <t>Luna: segundos entre tandas de aliens que suelta la nodriza</t>
  </si>
  <si>
    <t>nave_nodriza_suelta_cantidad</t>
  </si>
  <si>
    <t>Luna: aliens por tanda de la nodriza</t>
  </si>
  <si>
    <t>nave_disparo_vuelo_s</t>
  </si>
  <si>
    <t>Luna: segundos que vuela el orbe de la nodriza (lo que dura el aviso en el piso)</t>
  </si>
  <si>
    <t>nave_disparo_radio</t>
  </si>
  <si>
    <t>Luna: radio (m) del impacto del orbe de la nodriza</t>
  </si>
  <si>
    <t>nave_disparo_dano</t>
  </si>
  <si>
    <t>Luna: daño del orbe de la nodriza</t>
  </si>
  <si>
    <t>luna_obj_primero_s</t>
  </si>
  <si>
    <t>Luna: segundo de partida del primer objetivo en la superficie</t>
  </si>
  <si>
    <t>luna_obj_cada_s</t>
  </si>
  <si>
    <t>Luna: segundos entre el fin de un objetivo y el siguiente</t>
  </si>
  <si>
    <t>luna_obj_dist</t>
  </si>
  <si>
    <t>Luna: distancia (m, por la superficie) del auto al objetivo cuando aparece</t>
  </si>
  <si>
    <t>luna_obj_celdas_min</t>
  </si>
  <si>
    <t>Luna: celdas de energía mínimas por objetivo (a veces una más)</t>
  </si>
  <si>
    <t>luna_obj_celdas_radio</t>
  </si>
  <si>
    <t>Luna: radio (m) en el que se reparten las celdas alrededor del punto marcado</t>
  </si>
  <si>
    <t>luna_obj_celdas_s</t>
  </si>
  <si>
    <t>Luna: segundos para juntar todas las celdas desde que aparecen</t>
  </si>
  <si>
    <t>luna_obj_celda_toma</t>
  </si>
  <si>
    <t>Luna: distancia (m) a la que el auto toma una celda</t>
  </si>
  <si>
    <t>luna_obj_antena_radio</t>
  </si>
  <si>
    <t>Luna: radio (m) de la zona de la antena; la barra solo avanza adentro</t>
  </si>
  <si>
    <t>luna_obj_antena_s</t>
  </si>
  <si>
    <t>Luna: segundos dentro de la zona para completar la antena</t>
  </si>
  <si>
    <t>luna_obj_antena_limite_s</t>
  </si>
  <si>
    <t>Luna: segundos que la antena espera antes de perderse el objetivo</t>
  </si>
  <si>
    <t>luna_obj_antena_bichos_cada_s</t>
  </si>
  <si>
    <t>Luna: segundos entre tandas de bichos mientras el auto defiende la antena</t>
  </si>
  <si>
    <t>luna_obj_antena_bichos</t>
  </si>
  <si>
    <t>Luna: bichos por tanda alrededor de la antena</t>
  </si>
  <si>
    <t>luna_obj_premio_xp</t>
  </si>
  <si>
    <t>Luna: experiencia en gemas al completar un objetivo (más un cofre)</t>
  </si>
  <si>
    <t>luna_cohete_dist</t>
  </si>
  <si>
    <t>Luna: distancia (m, por la superficie) del auto al cohete de escape cuando aterriza</t>
  </si>
  <si>
    <t>luna_cohete_radio</t>
  </si>
  <si>
    <t>Luna: radio (m) de la zona de abordaje del cohete</t>
  </si>
  <si>
    <t>luna_cohete_s</t>
  </si>
  <si>
    <t>Luna: segundos dentro de la zona del cohete para escapar (victoria alternativa)</t>
  </si>
  <si>
    <t>nave_minijefe_xp</t>
  </si>
  <si>
    <t>Luna: experiencia en gemas que suelta una nave menor destruida (más un cofre)</t>
  </si>
  <si>
    <t>nave_bombardera_vida</t>
  </si>
  <si>
    <t>Luna: vida de la nave bombardera (minijefe)</t>
  </si>
  <si>
    <t>nave_bombardera_vel</t>
  </si>
  <si>
    <t>Luna: velocidad (m/s) de la bombardera</t>
  </si>
  <si>
    <t>nave_bomba_cada_s</t>
  </si>
  <si>
    <t>Luna: segundos entre bombas de la bombardera</t>
  </si>
  <si>
    <t>nave_bomba_radio</t>
  </si>
  <si>
    <t>Luna: radio (m) de la explosión y del cráter de cada bomba</t>
  </si>
  <si>
    <t>nave_bomba_dano</t>
  </si>
  <si>
    <t>Luna: daño de cada bomba</t>
  </si>
  <si>
    <t>nave_bomba_crater</t>
  </si>
  <si>
    <t>Luna: hondura (m) del cráter que deja cada bomba</t>
  </si>
  <si>
    <t>nave_abductora_vida</t>
  </si>
  <si>
    <t>Luna: vida de la nave abductora (minijefe)</t>
  </si>
  <si>
    <t>nave_abductora_vel</t>
  </si>
  <si>
    <t>Luna: velocidad (m/s) de la abductora</t>
  </si>
  <si>
    <t>nave_rayo_radio</t>
  </si>
  <si>
    <t>Luna: radio (m) del rayo de la abductora</t>
  </si>
  <si>
    <t>nave_rayo_dura_s</t>
  </si>
  <si>
    <t>Luna: segundos que dura el rayo encendido</t>
  </si>
  <si>
    <t>nave_rayo_altura</t>
  </si>
  <si>
    <t>Luna: altura (m) hasta la que el rayo levanta al auto</t>
  </si>
  <si>
    <t>nave_rayo_dano_s</t>
  </si>
  <si>
    <t>Luna: daño por segundo dentro del rayo</t>
  </si>
  <si>
    <t>nave_caza_vida</t>
  </si>
  <si>
    <t>Luna: vida del caza rápido (minijefe)</t>
  </si>
  <si>
    <t>nave_caza_vel</t>
  </si>
  <si>
    <t>Luna: velocidad (m/s) de las pasadas del caza</t>
  </si>
  <si>
    <t>nave_caza_disparo_cada_s</t>
  </si>
  <si>
    <t>Luna: segundos entre disparos del caza en una pasada</t>
  </si>
  <si>
    <t>nave_caza_dano</t>
  </si>
  <si>
    <t>Luna: daño de cada disparo del caza</t>
  </si>
  <si>
    <t>alien_enjambre_grupo</t>
  </si>
  <si>
    <t>Luna, enjambre: cuántos llegan juntos en cada manada (el que aparece pide al resto)</t>
  </si>
  <si>
    <t>alien_tirador_distancia</t>
  </si>
  <si>
    <t>Luna, tirador de onda: distancia (m) a la que se planta para disparar</t>
  </si>
  <si>
    <t>alien_tirador_cerca</t>
  </si>
  <si>
    <t>Luna, tirador de onda: más cerca que esto (m) retrocede</t>
  </si>
  <si>
    <t>alien_tirador_aviso_s</t>
  </si>
  <si>
    <t>Luna, tirador de onda: segundos que carga la pistolita antes de soltar el anillo (el aviso)</t>
  </si>
  <si>
    <t>alien_tirador_cada_s</t>
  </si>
  <si>
    <t>Luna, tirador de onda: segundos entre disparos</t>
  </si>
  <si>
    <t>alien_onda_vel</t>
  </si>
  <si>
    <t>Luna, tirador de onda: velocidad (m/s) del anillo (lento: se lo ve venir y se esquiva). Daño: acido_dano</t>
  </si>
  <si>
    <t>alien_onda_vida_s</t>
  </si>
  <si>
    <t>Luna, tirador de onda: segundos que vuela el anillo</t>
  </si>
  <si>
    <t>alien_saltador_alcance</t>
  </si>
  <si>
    <t>Luna, saltador: distancia máxima (m) del salto</t>
  </si>
  <si>
    <t>alien_saltador_min</t>
  </si>
  <si>
    <t>Luna, saltador: más cerca que esto (m) no salta, camina</t>
  </si>
  <si>
    <t>alien_saltador_aviso_s</t>
  </si>
  <si>
    <t>Luna, saltador: segundos agazapado con el aro de caída en el piso</t>
  </si>
  <si>
    <t>alien_saltador_vuelo_s</t>
  </si>
  <si>
    <t>Luna, saltador: segundos en el aire (arco largo de baja gravedad)</t>
  </si>
  <si>
    <t>alien_saltador_altura</t>
  </si>
  <si>
    <t>Luna, saltador: altura (m) del arco del salto</t>
  </si>
  <si>
    <t>alien_saltador_radio</t>
  </si>
  <si>
    <t>Luna, saltador: radio (m) del aro que marca dónde cae</t>
  </si>
  <si>
    <t>alien_saltador_cada_s</t>
  </si>
  <si>
    <t>Luna, saltador: segundos entre saltos</t>
  </si>
  <si>
    <t>alien_emboscador_radio</t>
  </si>
  <si>
    <t>Luna, emboscador: distancia (m) del auto a la que sale de abajo de la tierra</t>
  </si>
  <si>
    <t>alien_emboscador_hondo</t>
  </si>
  <si>
    <t>Luna, emboscador: metros que está enterrado (solo asoma el señuelo de luz)</t>
  </si>
  <si>
    <t>alien_emboscador_salto</t>
  </si>
  <si>
    <t>Luna, emboscador: velocidad (m/s) hacia el auto al salir</t>
  </si>
  <si>
    <t>alien_emboscador_activo_s</t>
  </si>
  <si>
    <t>Luna, emboscador: segundos que persigue antes de poder volver a enterrarse (si el auto se alejó)</t>
  </si>
  <si>
    <t>alien_flotante_altura</t>
  </si>
  <si>
    <t>Luna, flotante: altura (m) a la que vuela sobre el radio de la luna sin deformar (pasa por encima de cráteres y montículos)</t>
  </si>
  <si>
    <t>alien_flotante_orbita</t>
  </si>
  <si>
    <t>Luna, flotante: distancia (m) a la que ronda al auto antes de picar</t>
  </si>
  <si>
    <t>alien_flotante_cada_s</t>
  </si>
  <si>
    <t>Luna, flotante: segundos rondando entre picadas</t>
  </si>
  <si>
    <t>alien_flotante_picada_s</t>
  </si>
  <si>
    <t>Luna, flotante: segundos que dura la picada contra el auto</t>
  </si>
  <si>
    <t>alien_flotante_picada_vel</t>
  </si>
  <si>
    <t>Luna, flotante: multiplicador de su velocidad en la picada</t>
  </si>
  <si>
    <t>alien_tanque_blindaje</t>
  </si>
  <si>
    <t>Luna, tanque: fracción del daño que recibe si el auto está delante de su placa frontal</t>
  </si>
  <si>
    <t>alien_tanque_frente_grados</t>
  </si>
  <si>
    <t>Luna, tanque: medio ángulo (grados) del frente blindado; fuera de eso el golpe entra entero</t>
  </si>
  <si>
    <t>alien_tanque_giro</t>
  </si>
  <si>
    <t>Luna, tanque: giro máximo (rad/s): lento para que se lo pueda rodear</t>
  </si>
  <si>
    <t>alien_explosivo_arma</t>
  </si>
  <si>
    <t>Luna, explosivo: distancia (m) al auto a la que se planta y se arma</t>
  </si>
  <si>
    <t>alien_explosivo_aviso_s</t>
  </si>
  <si>
    <t>Luna, explosivo: segundos armándose con el aro en el piso antes de reventar</t>
  </si>
  <si>
    <t>alien_explosivo_radio</t>
  </si>
  <si>
    <t>Luna, explosivo: radio (m) de la explosión (el aro del aviso)</t>
  </si>
  <si>
    <t>alien_explosivo_dano</t>
  </si>
  <si>
    <t>Luna, explosivo: daño al auto si revienta con el auto dentro del aro</t>
  </si>
  <si>
    <t>alien_explosivo_dano_bicho</t>
  </si>
  <si>
    <t>Luna, explosivo: daño a los bichos dentro del aro al reventar</t>
  </si>
  <si>
    <t>alien_explosivo_crater_r</t>
  </si>
  <si>
    <t>Luna, explosivo: radio (m) del cráter que deja</t>
  </si>
  <si>
    <t>alien_explosivo_crater_hondo</t>
  </si>
  <si>
    <t>Luna, explosivo: profundidad (m) del cráter que deja</t>
  </si>
  <si>
    <t>alien_curandero_distancia</t>
  </si>
  <si>
    <t>Luna, curandero: distancia (m) al auto a la que se queda, detrás de los demás</t>
  </si>
  <si>
    <t>alien_curandero_cerca</t>
  </si>
  <si>
    <t>Luna, curandero: más cerca que esto (m) retrocede</t>
  </si>
  <si>
    <t>alien_curandero_radio</t>
  </si>
  <si>
    <t>Luna, curandero: alcance (m) del rayo que cura</t>
  </si>
  <si>
    <t>alien_curandero_cura</t>
  </si>
  <si>
    <t>Luna, curandero: fracción de la vida máxima del aliado que repone por segundo (al más herido en alcance)</t>
  </si>
  <si>
    <t>alien_curandero_escudo</t>
  </si>
  <si>
    <t>Luna, curandero: multiplicador del daño que recibe el aliado al que apunta el rayo (0.5 = la mitad) mientras lo cura</t>
  </si>
  <si>
    <t>gusano_hondo</t>
  </si>
  <si>
    <t>Luna, gusano: metros bajo la superficie a los que avanza enterrado (no recibe daño ni muerde)</t>
  </si>
  <si>
    <t>gusano_emerge_dist</t>
  </si>
  <si>
    <t>Luna, gusano: distancia (m) al auto a la que deja de perseguir enterrado y marca en el piso dónde va a salir</t>
  </si>
  <si>
    <t>gusano_aviso_s</t>
  </si>
  <si>
    <t>Luna, gusano: segundos del aro en el piso antes de emerger (fijo: moverse es esquivarlo)</t>
  </si>
  <si>
    <t>gusano_aviso_radio</t>
  </si>
  <si>
    <t>Luna, gusano: radio (m) del aro y del golpe al emerger; también el radio de los cráteres que deja</t>
  </si>
  <si>
    <t>gusano_crater_hondo</t>
  </si>
  <si>
    <t>Luna, gusano: profundidad (m) de los cráteres que deja al salir y al hundirse</t>
  </si>
  <si>
    <t>gusano_arco_s</t>
  </si>
  <si>
    <t>Luna, gusano: segundos que tarda la cabeza en recorrer el arco fuera de la superficie (solo recibe daño mientras está afuera)</t>
  </si>
  <si>
    <t>gusano_arco_largo</t>
  </si>
  <si>
    <t>Luna, gusano: metros entre donde sale y donde se vuelve a hundir</t>
  </si>
  <si>
    <t>gusano_arco_alto</t>
  </si>
  <si>
    <t>Luna, gusano: altura (m) del arco</t>
  </si>
  <si>
    <t>gusano_bajo_s</t>
  </si>
  <si>
    <t>Luna, gusano: segundos mínimos bajo tierra entre una salida y la siguiente</t>
  </si>
  <si>
    <t>gusano_fase2_vel</t>
  </si>
  <si>
    <t>Luna, gusano en la segunda barra: multiplicador de su velocidad enterrado y del arco</t>
  </si>
  <si>
    <t>gusano_fase2_seguidas</t>
  </si>
  <si>
    <t>Luna, gusano en la segunda barra: salidas seguidas (la siguiente sin esperar ni perseguir, con el aviso a la mitad)</t>
  </si>
  <si>
    <t>hp_base</t>
  </si>
  <si>
    <t>Vida base antes del bonus de chasis (modo Demolición)</t>
  </si>
  <si>
    <t>melee_cd_s</t>
  </si>
  <si>
    <t>Segundos de cooldown por par atacante–víctima</t>
  </si>
  <si>
    <t>melee_vel_coef</t>
  </si>
  <si>
    <t>Multiplicador de daño por velocidad relativa normalizada (0–1)</t>
  </si>
  <si>
    <t>melee_masa_coef</t>
  </si>
  <si>
    <t>Término de masa: (masa_atacante_kg / 5) × este coeficiente</t>
  </si>
  <si>
    <t>warn_traccion_mul</t>
  </si>
  <si>
    <t>Multiplicador de tracción si el loadout confirmado estaba en WARN</t>
  </si>
  <si>
    <t>asalto_objetivo_s</t>
  </si>
  <si>
    <t>Duración objetivo de un asalto (tuning; no es límite duro)</t>
  </si>
  <si>
    <t>volcado_vuln_mul</t>
  </si>
  <si>
    <t>Multiplicador de daño recibido mientras el robot está volcado</t>
  </si>
  <si>
    <t>flip_cd_s</t>
  </si>
  <si>
    <t>Cooldown del botón enderezar tras volcado (modo Demolición)</t>
  </si>
  <si>
    <t>phys_grip_fwd_k</t>
  </si>
  <si>
    <t>Coef. frenado longitudinal sin acelerador (× grip × masa)</t>
  </si>
  <si>
    <t>phys_grip_lat_k</t>
  </si>
  <si>
    <t>Coef. frenado lateral (× grip × masa)</t>
  </si>
  <si>
    <t>phys_grip_fwd_min_spd</t>
  </si>
  <si>
    <t>|vel longitudinal| mínima para grip longitudinal</t>
  </si>
  <si>
    <t>phys_grip_lat_min_spd</t>
  </si>
  <si>
    <t>|vel lateral| mínima para grip lateral</t>
  </si>
  <si>
    <t>phys_spd_cap_k</t>
  </si>
  <si>
    <t>Fuerza de tope cuando supera maxSpd (× masa)</t>
  </si>
  <si>
    <t>phys_steer_k</t>
  </si>
  <si>
    <t>Multiplicador torque de giro en suelo</t>
  </si>
  <si>
    <t>phys_ang_damp_xy</t>
  </si>
  <si>
    <t>Amortiguación roll/pitch angular en suelo (× masa)</t>
  </si>
  <si>
    <t>phys_ang_damp_air</t>
  </si>
  <si>
    <t>Amortiguación roll/pitch en el aire (× masa)</t>
  </si>
  <si>
    <t>phys_steer_air_k</t>
  </si>
  <si>
    <t>Torque de giro en el aire</t>
  </si>
  <si>
    <t>phys_accel_air_k</t>
  </si>
  <si>
    <t>Aceleración en el aire (× accel × masa)</t>
  </si>
  <si>
    <t>phys_reverse_mul</t>
  </si>
  <si>
    <t>Multiplicador aceleración marcha atrás</t>
  </si>
  <si>
    <t>phys_self_right_k</t>
  </si>
  <si>
    <t>Torque auto-enderezado suave cuando up·Y &lt; 0.25</t>
  </si>
  <si>
    <t>phys_trompo_torque_k</t>
  </si>
  <si>
    <t>Torque Y del trompo cargado (× rpm × masa)</t>
  </si>
  <si>
    <t>phys_force_cap_mul</t>
  </si>
  <si>
    <t>Tope de |F| por cuadro: masa × este valor (ponytail: un solo applyForce)</t>
  </si>
  <si>
    <t>phys_torque_cap_mul</t>
  </si>
  <si>
    <t>Tope de |τ| por cuadro: masa × este valor</t>
  </si>
  <si>
    <t>phys_friction_bot</t>
  </si>
  <si>
    <t>Fricción del colisionador del robot</t>
  </si>
  <si>
    <t>phys_friction_floor</t>
  </si>
  <si>
    <t>Fricción del piso de la arena</t>
  </si>
  <si>
    <t>phys_wall_restitution</t>
  </si>
  <si>
    <t>Restitución de las paredes (rebote en bordes)</t>
  </si>
  <si>
    <t>phys_flip_up_dot</t>
  </si>
  <si>
    <t>Umbral up·Y para considerar volcado</t>
  </si>
  <si>
    <t>phys_volcado_drive_mul</t>
  </si>
  <si>
    <t>Multiplicador de empuje cuando volcado</t>
  </si>
  <si>
    <t>grid_m</t>
  </si>
  <si>
    <t>Tamaño de celda de fabricación RoboCraft (m)</t>
  </si>
  <si>
    <t>masa_max_kg</t>
  </si>
  <si>
    <t>Tope de masa del build en fabricación</t>
  </si>
  <si>
    <t>min_ruedas</t>
  </si>
  <si>
    <t>Ruedas mínimas (oruga cuenta como 2)</t>
  </si>
  <si>
    <t>grid_half_xz</t>
  </si>
  <si>
    <t>Celdas desde el origen en ±X y ±Z</t>
  </si>
  <si>
    <t>grid_max_y</t>
  </si>
  <si>
    <t>Celdas de altura Y (0..max inclusive)</t>
  </si>
  <si>
    <t>part_wear_mul</t>
  </si>
  <si>
    <t>Fracción del daño melee que desgasta integridad del bloque impactado (fabricación)</t>
  </si>
  <si>
    <t>cat</t>
  </si>
  <si>
    <t>sx</t>
  </si>
  <si>
    <t>sy</t>
  </si>
  <si>
    <t>sz</t>
  </si>
  <si>
    <t>masa_kg</t>
  </si>
  <si>
    <t>wheel_count</t>
  </si>
  <si>
    <t>vel_max_mul</t>
  </si>
  <si>
    <t>traccion_mul</t>
  </si>
  <si>
    <t>push_mul</t>
  </si>
  <si>
    <t>rpm_max</t>
  </si>
  <si>
    <t>rpm_carga_s</t>
  </si>
  <si>
    <t>knock_up_n</t>
  </si>
  <si>
    <t>cog_y_m</t>
  </si>
  <si>
    <t>Nombre en UI</t>
  </si>
  <si>
    <t>chasis | movimiento | arma | especial | cosmetico</t>
  </si>
  <si>
    <t>Footprint X (celdas)</t>
  </si>
  <si>
    <t>Footprint Y (celdas)</t>
  </si>
  <si>
    <t>Footprint Z (celdas)</t>
  </si>
  <si>
    <t>Masa (kg)</t>
  </si>
  <si>
    <t>Vida aportada al HP global</t>
  </si>
  <si>
    <t>Cuántas ruedas aporta (oruga = 2)</t>
  </si>
  <si>
    <t>Multiplicador de tracción</t>
  </si>
  <si>
    <t>Daño melee (armas)</t>
  </si>
  <si>
    <t>Empuje</t>
  </si>
  <si>
    <t>RPM máx (trompo)</t>
  </si>
  <si>
    <t>Carga RPM (s)</t>
  </si>
  <si>
    <t>Knock-up sierra</t>
  </si>
  <si>
    <t>Offset CoG Y local (m)</t>
  </si>
  <si>
    <t>chapa</t>
  </si>
  <si>
    <t>Chapa</t>
  </si>
  <si>
    <t>chasis</t>
  </si>
  <si>
    <t>cuna_blk</t>
  </si>
  <si>
    <t>Cuña</t>
  </si>
  <si>
    <t>plancha_blk</t>
  </si>
  <si>
    <t>Plancha</t>
  </si>
  <si>
    <t>chapa_u</t>
  </si>
  <si>
    <t>Chapa U</t>
  </si>
  <si>
    <t>rueda_std</t>
  </si>
  <si>
    <t>Rueda estándar</t>
  </si>
  <si>
    <t>movimiento</t>
  </si>
  <si>
    <t>rueda_gig</t>
  </si>
  <si>
    <t>Rueda gigante</t>
  </si>
  <si>
    <t>oruga</t>
  </si>
  <si>
    <t>Oruga</t>
  </si>
  <si>
    <t>sierra</t>
  </si>
  <si>
    <t>Sierra</t>
  </si>
  <si>
    <t>pala</t>
  </si>
  <si>
    <t>Pala</t>
  </si>
  <si>
    <t>asiento_rc</t>
  </si>
  <si>
    <t>Asiento RC</t>
  </si>
  <si>
    <t>especial</t>
  </si>
  <si>
    <t>puerta</t>
  </si>
  <si>
    <t>Puerta</t>
  </si>
  <si>
    <t>cosmetico</t>
  </si>
  <si>
    <t>Muñeco</t>
  </si>
  <si>
    <t>hp_bonus</t>
  </si>
  <si>
    <t>Nombre en UI (referencia)</t>
  </si>
  <si>
    <t>Masa del chasis (kg) para física y barras</t>
  </si>
  <si>
    <t>Vida extra sumada a duelo.hp_base</t>
  </si>
  <si>
    <t>Multiplicador de tracción (1 = referencia)</t>
  </si>
  <si>
    <t>Multiplicador de velocidad máxima</t>
  </si>
  <si>
    <t>Centro de gravedad Y (m) para preview y física</t>
  </si>
  <si>
    <t>Caja</t>
  </si>
  <si>
    <t>cuna</t>
  </si>
  <si>
    <t>plancha</t>
  </si>
  <si>
    <t>lift_m</t>
  </si>
  <si>
    <t>Metros que eleva el chasis (gigantes)</t>
  </si>
  <si>
    <t>estandar</t>
  </si>
  <si>
    <t>Estándar</t>
  </si>
  <si>
    <t>gigantes</t>
  </si>
  <si>
    <t>Gigantes</t>
  </si>
  <si>
    <t>orugas</t>
  </si>
  <si>
    <t>Daño base melee antes de velocidad/RPM</t>
  </si>
  <si>
    <t>Multiplicador de empuje Havok</t>
  </si>
  <si>
    <t>RPM máxima (0 = no aplica)</t>
  </si>
  <si>
    <t>Segundos para cargar de 0 a RPM máx (trompo; 0 = no aplica)</t>
  </si>
  <si>
    <t>Impulso vertical en sierra (0 = no aplica)</t>
  </si>
  <si>
    <t>chasis_id</t>
  </si>
  <si>
    <t>ruedas_id</t>
  </si>
  <si>
    <t>arma_id</t>
  </si>
  <si>
    <t>cuerpo_color</t>
  </si>
  <si>
    <t>bandas_color</t>
  </si>
  <si>
    <t>pala_color</t>
  </si>
  <si>
    <t>Identificador del rival (no cambiar)</t>
  </si>
  <si>
    <t>Id en duelo_chasis</t>
  </si>
  <si>
    <t>Id en duelo_ruedas</t>
  </si>
  <si>
    <t>Id en duelo_armas</t>
  </si>
  <si>
    <t>Color hex cuerpo</t>
  </si>
  <si>
    <t>Color hex bandas/orugas</t>
  </si>
  <si>
    <t>Color hex del arma</t>
  </si>
  <si>
    <t>cuna_industrial</t>
  </si>
  <si>
    <t>CUÑA INDUSTRIAL</t>
  </si>
  <si>
    <t>#2a2d32</t>
  </si>
  <si>
    <t>#e85d04</t>
  </si>
  <si>
    <t>#8a9098</t>
  </si>
  <si>
    <t>Golpes para matar</t>
  </si>
  <si>
    <t>Cuántos golpes de cada arma (a nivel 1 y a nivel 5, sin evolución) y cuántas embestidas hacen falta para matar a cada bicho. Se recalcula con las hojas enemigos, armas, autos y ritmo.</t>
  </si>
  <si>
    <t>Segundo de la partida (la vida de los bichos normales sube con el tiempo)</t>
  </si>
  <si>
    <t>Multiplicador de daño del equipo (pasivas Lupa, mejoras del taller, piloto)</t>
  </si>
  <si>
    <t>Auto de la embestida (id de la hoja autos)</t>
  </si>
  <si>
    <t>Velocidad típica de embestida hacia el enemigo (m/s)</t>
  </si>
  <si>
    <t>Multiplicador extra de embestida (turbo 1,3; Lápiz-lanza nivel 5: 2,75)</t>
  </si>
  <si>
    <t>Embestida</t>
  </si>
  <si>
    <t>id del arma</t>
  </si>
  <si>
    <t>nivel</t>
  </si>
  <si>
    <t>vida efectiva / daño por golpe</t>
  </si>
  <si>
    <t>Tiempo para matar a cada jefe</t>
  </si>
  <si>
    <t>Segundos estimados = vida ÷ (DPS supuesto × presencia). El DPS es un SUPUESTO por jefe (calibrar con __bossDuel: ver CLAUDE.md); no sale de la hoja armas.</t>
  </si>
  <si>
    <t>Presencia: fracción del tiempo en que el equipo logra pegarle al jefe (0 a 1)</t>
  </si>
  <si>
    <t>vida (con segunda barra)</t>
  </si>
  <si>
    <t>DPS supuesto del equipo</t>
  </si>
  <si>
    <t>segundos para matarlo</t>
  </si>
  <si>
    <t>minutos</t>
  </si>
  <si>
    <t>Partidas para comprar</t>
  </si>
  <si>
    <t>Precio ÷ tornillos promedio por partida, por cada nivel de mejora, auto, piloto, zona y pieza. Se recalcula con las hojas precios, autos, pilotos y ritmo.</t>
  </si>
  <si>
    <t>Tornillos promedio por partida (sale de ritmo tornillos_partida_tipica; el taller lo usa para decir cuántas partidas faltan)</t>
  </si>
  <si>
    <t>Referencia: tiempo medio sobrevivido (s)</t>
  </si>
  <si>
    <t>Referencia: bajas medias por partida</t>
  </si>
  <si>
    <t>Referencia: jefes derrotados por partida</t>
  </si>
  <si>
    <t>Tornillos por partida según la fórmula del juego con esas referencias (no alimenta nada)</t>
  </si>
  <si>
    <t>total</t>
  </si>
  <si>
    <t>auto</t>
  </si>
  <si>
    <t>piloto</t>
  </si>
  <si>
    <t>Todo el taller (partidas)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</si>
</sst>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i/>
      <color rgb="FF6B7280"/>
    </font>
    <font>
      <b/>
      <sz val="14"/>
    </font>
    <font>
      <color rgb="FF6B7280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2B3"/>
      </patternFill>
    </fill>
    <fill>
      <patternFill patternType="solid">
        <fgColor rgb="FFE8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0" fillId="3" borderId="0" xfId="0" applyFill="1"/>
    <xf numFmtId="0" fontId="0" fillId="0" borderId="0" xfId="0" applyAlignment="1">
      <alignment vertical="top" wrapText="1"/>
    </xf>
    <xf numFmtId="0" fontId="5" fillId="0" borderId="0" xfId="0" applyFont="1"/>
    <xf numFmtId="0" fontId="1" fillId="4" borderId="0" xfId="0" applyFont="1" applyFill="1"/>
    <xf numFmtId="164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6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26" customWidth="1"/>
    <col min="3" max="11" width="13" customWidth="1"/>
  </cols>
  <sheetData>
    <row r="1" spans="1:11" x14ac:dyDescent="0.25">
      <c r="A1" s="2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</row>
    <row r="2" ht="78" customHeight="1" spans="1:11" x14ac:dyDescent="0.25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</row>
    <row r="3" spans="1:11" x14ac:dyDescent="0.25">
      <c r="A3" s="1" t="s">
        <v>28</v>
      </c>
      <c r="B3" t="s">
        <v>29</v>
      </c>
      <c r="C3" t="s">
        <v>30</v>
      </c>
      <c r="D3">
        <v>11</v>
      </c>
      <c r="E3">
        <v>8</v>
      </c>
      <c r="F3">
        <v>6</v>
      </c>
      <c r="G3">
        <v>0.4</v>
      </c>
      <c r="H3">
        <v>1</v>
      </c>
      <c r="I3">
        <v>0</v>
      </c>
      <c r="J3">
        <v>10</v>
      </c>
      <c r="K3">
        <v>0</v>
      </c>
    </row>
    <row r="4" spans="1:11" x14ac:dyDescent="0.25">
      <c r="A4" s="1" t="s">
        <v>31</v>
      </c>
      <c r="B4" t="s">
        <v>32</v>
      </c>
      <c r="C4" t="s">
        <v>30</v>
      </c>
      <c r="D4">
        <v>22</v>
      </c>
      <c r="E4">
        <v>7</v>
      </c>
      <c r="F4">
        <v>8</v>
      </c>
      <c r="G4">
        <v>0.7</v>
      </c>
      <c r="H4">
        <v>3</v>
      </c>
      <c r="I4">
        <v>1.5</v>
      </c>
      <c r="J4">
        <v>1</v>
      </c>
      <c r="K4">
        <v>0.6</v>
      </c>
    </row>
    <row r="5" spans="1:11" x14ac:dyDescent="0.25">
      <c r="A5" s="1" t="s">
        <v>33</v>
      </c>
      <c r="B5" t="s">
        <v>34</v>
      </c>
      <c r="C5" t="s">
        <v>30</v>
      </c>
      <c r="D5">
        <v>18</v>
      </c>
      <c r="E5">
        <v>12.5</v>
      </c>
      <c r="F5">
        <v>7</v>
      </c>
      <c r="G5">
        <v>0.7</v>
      </c>
      <c r="H5">
        <v>2</v>
      </c>
      <c r="I5">
        <v>0.5</v>
      </c>
      <c r="J5">
        <v>4</v>
      </c>
      <c r="K5">
        <v>1</v>
      </c>
    </row>
    <row r="6" spans="1:11" x14ac:dyDescent="0.25">
      <c r="A6" s="1" t="s">
        <v>35</v>
      </c>
      <c r="B6" t="s">
        <v>36</v>
      </c>
      <c r="C6" t="s">
        <v>30</v>
      </c>
      <c r="D6">
        <v>40</v>
      </c>
      <c r="E6">
        <v>18</v>
      </c>
      <c r="F6">
        <v>10</v>
      </c>
      <c r="G6">
        <v>1.3</v>
      </c>
      <c r="H6">
        <v>3</v>
      </c>
      <c r="I6">
        <v>1.5</v>
      </c>
      <c r="J6">
        <v>2</v>
      </c>
      <c r="K6">
        <v>0.6</v>
      </c>
    </row>
    <row r="7" spans="1:11" x14ac:dyDescent="0.25">
      <c r="A7" s="1" t="s">
        <v>37</v>
      </c>
      <c r="B7" t="s">
        <v>38</v>
      </c>
      <c r="C7" t="s">
        <v>30</v>
      </c>
      <c r="D7">
        <v>12</v>
      </c>
      <c r="E7">
        <v>11</v>
      </c>
      <c r="F7">
        <v>5</v>
      </c>
      <c r="G7">
        <v>0.3</v>
      </c>
      <c r="H7">
        <v>2</v>
      </c>
      <c r="I7">
        <v>2.5</v>
      </c>
      <c r="J7">
        <v>1</v>
      </c>
      <c r="K7">
        <v>0.4</v>
      </c>
    </row>
    <row r="8" spans="1:11" x14ac:dyDescent="0.25">
      <c r="A8" s="1" t="s">
        <v>39</v>
      </c>
      <c r="B8" t="s">
        <v>40</v>
      </c>
      <c r="C8" t="s">
        <v>30</v>
      </c>
      <c r="D8">
        <v>90</v>
      </c>
      <c r="E8">
        <v>4.5</v>
      </c>
      <c r="F8">
        <v>12</v>
      </c>
      <c r="G8">
        <v>3</v>
      </c>
      <c r="H8">
        <v>6</v>
      </c>
      <c r="I8">
        <v>3.5</v>
      </c>
      <c r="J8">
        <v>1</v>
      </c>
      <c r="K8">
        <v>0.5</v>
      </c>
    </row>
    <row r="9" spans="1:11" x14ac:dyDescent="0.25">
      <c r="A9" s="1" t="s">
        <v>41</v>
      </c>
      <c r="B9" t="s">
        <v>42</v>
      </c>
      <c r="C9" t="s">
        <v>43</v>
      </c>
      <c r="D9">
        <v>1800</v>
      </c>
      <c r="E9">
        <v>6</v>
      </c>
      <c r="F9">
        <v>30</v>
      </c>
      <c r="G9">
        <v>40</v>
      </c>
      <c r="H9">
        <v>60</v>
      </c>
      <c r="I9">
        <v>0</v>
      </c>
      <c r="J9">
        <v>0</v>
      </c>
      <c r="K9">
        <v>0</v>
      </c>
    </row>
    <row r="10" spans="1:11" x14ac:dyDescent="0.25">
      <c r="A10" s="1" t="s">
        <v>44</v>
      </c>
      <c r="B10" t="s">
        <v>45</v>
      </c>
      <c r="C10" t="s">
        <v>43</v>
      </c>
      <c r="D10">
        <v>3500</v>
      </c>
      <c r="E10">
        <v>15</v>
      </c>
      <c r="F10">
        <v>45</v>
      </c>
      <c r="G10">
        <v>80</v>
      </c>
      <c r="H10">
        <v>120</v>
      </c>
      <c r="I10">
        <v>0</v>
      </c>
      <c r="J10">
        <v>0</v>
      </c>
      <c r="K10">
        <v>0</v>
      </c>
    </row>
    <row r="11" spans="1:11" x14ac:dyDescent="0.25">
      <c r="A11" s="1" t="s">
        <v>46</v>
      </c>
      <c r="B11" t="s">
        <v>47</v>
      </c>
      <c r="C11" t="s">
        <v>43</v>
      </c>
      <c r="D11">
        <v>2600</v>
      </c>
      <c r="E11">
        <v>7</v>
      </c>
      <c r="F11">
        <v>35</v>
      </c>
      <c r="G11">
        <v>50</v>
      </c>
      <c r="H11">
        <v>100</v>
      </c>
      <c r="I11">
        <v>0</v>
      </c>
      <c r="J11">
        <v>0</v>
      </c>
      <c r="K11">
        <v>0</v>
      </c>
    </row>
    <row r="12" spans="1:11" x14ac:dyDescent="0.25">
      <c r="A12" s="1" t="s">
        <v>48</v>
      </c>
      <c r="B12" t="s">
        <v>49</v>
      </c>
      <c r="C12" t="s">
        <v>43</v>
      </c>
      <c r="D12">
        <v>2900</v>
      </c>
      <c r="E12">
        <v>11</v>
      </c>
      <c r="F12">
        <v>32</v>
      </c>
      <c r="G12">
        <v>60</v>
      </c>
      <c r="H12">
        <v>110</v>
      </c>
      <c r="I12">
        <v>0</v>
      </c>
      <c r="J12">
        <v>0</v>
      </c>
      <c r="K12">
        <v>0</v>
      </c>
    </row>
    <row r="13" spans="1:11" x14ac:dyDescent="0.25">
      <c r="A13" s="1" t="s">
        <v>50</v>
      </c>
      <c r="B13" t="s">
        <v>51</v>
      </c>
      <c r="C13" t="s">
        <v>43</v>
      </c>
      <c r="D13">
        <v>3200</v>
      </c>
      <c r="E13">
        <v>6</v>
      </c>
      <c r="F13">
        <v>28</v>
      </c>
      <c r="G13">
        <v>45</v>
      </c>
      <c r="H13">
        <v>95</v>
      </c>
      <c r="I13">
        <v>0</v>
      </c>
      <c r="J13">
        <v>0</v>
      </c>
      <c r="K13">
        <v>0</v>
      </c>
    </row>
    <row r="14" spans="1:11" x14ac:dyDescent="0.25">
      <c r="A14" s="1" t="s">
        <v>52</v>
      </c>
      <c r="B14" t="s">
        <v>53</v>
      </c>
      <c r="C14" t="s">
        <v>43</v>
      </c>
      <c r="D14">
        <v>3300</v>
      </c>
      <c r="E14">
        <v>6.5</v>
      </c>
      <c r="F14">
        <v>30</v>
      </c>
      <c r="G14">
        <v>55</v>
      </c>
      <c r="H14">
        <v>100</v>
      </c>
      <c r="I14">
        <v>0</v>
      </c>
      <c r="J14">
        <v>0</v>
      </c>
      <c r="K14">
        <v>0</v>
      </c>
    </row>
    <row r="15" spans="1:11" x14ac:dyDescent="0.25">
      <c r="A15" s="1" t="s">
        <v>54</v>
      </c>
      <c r="B15" t="s">
        <v>55</v>
      </c>
      <c r="C15" t="s">
        <v>43</v>
      </c>
      <c r="D15">
        <v>3100</v>
      </c>
      <c r="E15">
        <v>8</v>
      </c>
      <c r="F15">
        <v>20</v>
      </c>
      <c r="G15">
        <v>50</v>
      </c>
      <c r="H15">
        <v>100</v>
      </c>
      <c r="I15">
        <v>0</v>
      </c>
      <c r="J15">
        <v>0</v>
      </c>
      <c r="K15">
        <v>0</v>
      </c>
    </row>
    <row r="16" spans="1:11" x14ac:dyDescent="0.25">
      <c r="A16" s="1" t="s">
        <v>56</v>
      </c>
      <c r="B16" t="s">
        <v>57</v>
      </c>
      <c r="C16" t="s">
        <v>43</v>
      </c>
      <c r="D16">
        <v>3000</v>
      </c>
      <c r="E16">
        <v>7</v>
      </c>
      <c r="F16">
        <v>24</v>
      </c>
      <c r="G16">
        <v>50</v>
      </c>
      <c r="H16">
        <v>100</v>
      </c>
      <c r="I16">
        <v>0</v>
      </c>
      <c r="J16">
        <v>0</v>
      </c>
      <c r="K16">
        <v>0</v>
      </c>
    </row>
    <row r="17" spans="1:11" x14ac:dyDescent="0.25">
      <c r="A17" s="1" t="s">
        <v>58</v>
      </c>
      <c r="B17" t="s">
        <v>59</v>
      </c>
      <c r="C17" t="s">
        <v>43</v>
      </c>
      <c r="D17">
        <v>2900</v>
      </c>
      <c r="E17">
        <v>7</v>
      </c>
      <c r="F17">
        <v>18</v>
      </c>
      <c r="G17">
        <v>45</v>
      </c>
      <c r="H17">
        <v>100</v>
      </c>
      <c r="I17">
        <v>0</v>
      </c>
      <c r="J17">
        <v>0</v>
      </c>
      <c r="K17">
        <v>0</v>
      </c>
    </row>
    <row r="18" spans="1:11" x14ac:dyDescent="0.25">
      <c r="A18" s="1" t="s">
        <v>60</v>
      </c>
      <c r="B18" t="s">
        <v>61</v>
      </c>
      <c r="C18" t="s">
        <v>30</v>
      </c>
      <c r="D18">
        <v>60</v>
      </c>
      <c r="E18">
        <v>11</v>
      </c>
      <c r="F18">
        <v>8</v>
      </c>
      <c r="G18">
        <v>0.8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s="1" t="s">
        <v>62</v>
      </c>
      <c r="B19" t="s">
        <v>63</v>
      </c>
      <c r="C19" t="s">
        <v>64</v>
      </c>
      <c r="D19">
        <v>8000</v>
      </c>
      <c r="E19">
        <v>9</v>
      </c>
      <c r="F19">
        <v>40</v>
      </c>
      <c r="G19">
        <v>100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s="1" t="s">
        <v>65</v>
      </c>
      <c r="B20" t="s">
        <v>66</v>
      </c>
      <c r="C20" t="s">
        <v>64</v>
      </c>
      <c r="D20">
        <v>7500</v>
      </c>
      <c r="E20">
        <v>7</v>
      </c>
      <c r="F20">
        <v>35</v>
      </c>
      <c r="G20">
        <v>90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s="1" t="s">
        <v>67</v>
      </c>
      <c r="B21" t="s">
        <v>68</v>
      </c>
      <c r="C21" t="s">
        <v>64</v>
      </c>
      <c r="D21">
        <v>7000</v>
      </c>
      <c r="E21">
        <v>8</v>
      </c>
      <c r="F21">
        <v>40</v>
      </c>
      <c r="G21">
        <v>80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 s="1" t="s">
        <v>69</v>
      </c>
      <c r="B22" t="s">
        <v>70</v>
      </c>
      <c r="C22" t="s">
        <v>64</v>
      </c>
      <c r="D22">
        <v>7500</v>
      </c>
      <c r="E22">
        <v>5</v>
      </c>
      <c r="F22">
        <v>40</v>
      </c>
      <c r="G22">
        <v>90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s="1" t="s">
        <v>71</v>
      </c>
      <c r="B23" t="s">
        <v>72</v>
      </c>
      <c r="C23" t="s">
        <v>30</v>
      </c>
      <c r="D23">
        <v>10</v>
      </c>
      <c r="E23">
        <v>11</v>
      </c>
      <c r="F23">
        <v>5</v>
      </c>
      <c r="G23">
        <v>0.35</v>
      </c>
      <c r="H23">
        <v>2</v>
      </c>
      <c r="I23">
        <v>0</v>
      </c>
      <c r="J23">
        <v>0</v>
      </c>
      <c r="K23">
        <v>0</v>
      </c>
    </row>
    <row r="24" spans="1:11" x14ac:dyDescent="0.25">
      <c r="A24" s="1" t="s">
        <v>73</v>
      </c>
      <c r="B24" t="s">
        <v>74</v>
      </c>
      <c r="C24" t="s">
        <v>30</v>
      </c>
      <c r="D24">
        <v>26</v>
      </c>
      <c r="E24">
        <v>19</v>
      </c>
      <c r="F24">
        <v>9</v>
      </c>
      <c r="G24">
        <v>1</v>
      </c>
      <c r="H24">
        <v>3</v>
      </c>
      <c r="I24">
        <v>0</v>
      </c>
      <c r="J24">
        <v>0</v>
      </c>
      <c r="K24">
        <v>0</v>
      </c>
    </row>
    <row r="25" spans="1:11" x14ac:dyDescent="0.25">
      <c r="A25" s="1" t="s">
        <v>75</v>
      </c>
      <c r="B25" t="s">
        <v>76</v>
      </c>
      <c r="C25" t="s">
        <v>30</v>
      </c>
      <c r="D25">
        <v>6</v>
      </c>
      <c r="E25">
        <v>10.5</v>
      </c>
      <c r="F25">
        <v>3</v>
      </c>
      <c r="G25">
        <v>0.25</v>
      </c>
      <c r="H25">
        <v>1</v>
      </c>
      <c r="I25">
        <v>0.5</v>
      </c>
      <c r="J25">
        <v>3</v>
      </c>
      <c r="K25">
        <v>0.6</v>
      </c>
    </row>
    <row r="26" spans="1:11" x14ac:dyDescent="0.25">
      <c r="A26" s="1" t="s">
        <v>77</v>
      </c>
      <c r="B26" t="s">
        <v>78</v>
      </c>
      <c r="C26" t="s">
        <v>30</v>
      </c>
      <c r="D26">
        <v>20</v>
      </c>
      <c r="E26">
        <v>6.5</v>
      </c>
      <c r="F26">
        <v>5</v>
      </c>
      <c r="G26">
        <v>0.6</v>
      </c>
      <c r="H26">
        <v>3</v>
      </c>
      <c r="I26">
        <v>1.5</v>
      </c>
      <c r="J26">
        <v>1</v>
      </c>
      <c r="K26">
        <v>0.5</v>
      </c>
    </row>
    <row r="27" spans="1:11" x14ac:dyDescent="0.25">
      <c r="A27" s="1" t="s">
        <v>79</v>
      </c>
      <c r="B27" t="s">
        <v>80</v>
      </c>
      <c r="C27" t="s">
        <v>30</v>
      </c>
      <c r="D27">
        <v>26</v>
      </c>
      <c r="E27">
        <v>5</v>
      </c>
      <c r="F27">
        <v>9</v>
      </c>
      <c r="G27">
        <v>0.8</v>
      </c>
      <c r="H27">
        <v>3</v>
      </c>
      <c r="I27">
        <v>2.5</v>
      </c>
      <c r="J27">
        <v>1</v>
      </c>
      <c r="K27">
        <v>0.45</v>
      </c>
    </row>
    <row r="28" spans="1:11" x14ac:dyDescent="0.25">
      <c r="A28" s="1" t="s">
        <v>81</v>
      </c>
      <c r="B28" t="s">
        <v>82</v>
      </c>
      <c r="C28" t="s">
        <v>30</v>
      </c>
      <c r="D28">
        <v>34</v>
      </c>
      <c r="E28">
        <v>13</v>
      </c>
      <c r="F28">
        <v>12</v>
      </c>
      <c r="G28">
        <v>1</v>
      </c>
      <c r="H28">
        <v>4</v>
      </c>
      <c r="I28">
        <v>3.5</v>
      </c>
      <c r="J28">
        <v>0.8</v>
      </c>
      <c r="K28">
        <v>0.4</v>
      </c>
    </row>
    <row r="29" spans="1:11" x14ac:dyDescent="0.25">
      <c r="A29" s="1" t="s">
        <v>83</v>
      </c>
      <c r="B29" t="s">
        <v>84</v>
      </c>
      <c r="C29" t="s">
        <v>30</v>
      </c>
      <c r="D29">
        <v>16</v>
      </c>
      <c r="E29">
        <v>8</v>
      </c>
      <c r="F29">
        <v>7</v>
      </c>
      <c r="G29">
        <v>0.4</v>
      </c>
      <c r="H29">
        <v>2</v>
      </c>
      <c r="I29">
        <v>2</v>
      </c>
      <c r="J29">
        <v>1</v>
      </c>
      <c r="K29">
        <v>0.45</v>
      </c>
    </row>
    <row r="30" spans="1:11" x14ac:dyDescent="0.25">
      <c r="A30" s="1" t="s">
        <v>85</v>
      </c>
      <c r="B30" t="s">
        <v>86</v>
      </c>
      <c r="C30" t="s">
        <v>30</v>
      </c>
      <c r="D30">
        <v>110</v>
      </c>
      <c r="E30">
        <v>3.2</v>
      </c>
      <c r="F30">
        <v>14</v>
      </c>
      <c r="G30">
        <v>3.5</v>
      </c>
      <c r="H30">
        <v>8</v>
      </c>
      <c r="I30">
        <v>4</v>
      </c>
      <c r="J30">
        <v>0.5</v>
      </c>
      <c r="K30">
        <v>0.25</v>
      </c>
    </row>
    <row r="31" spans="1:11" x14ac:dyDescent="0.25">
      <c r="A31" s="1" t="s">
        <v>87</v>
      </c>
      <c r="B31" t="s">
        <v>88</v>
      </c>
      <c r="C31" t="s">
        <v>30</v>
      </c>
      <c r="D31">
        <v>12</v>
      </c>
      <c r="E31">
        <v>11</v>
      </c>
      <c r="F31">
        <v>4</v>
      </c>
      <c r="G31">
        <v>0.5</v>
      </c>
      <c r="H31">
        <v>2</v>
      </c>
      <c r="I31">
        <v>3</v>
      </c>
      <c r="J31">
        <v>0.9</v>
      </c>
      <c r="K31">
        <v>0.4</v>
      </c>
    </row>
    <row r="32" spans="1:11" x14ac:dyDescent="0.25">
      <c r="A32" s="1" t="s">
        <v>89</v>
      </c>
      <c r="B32" t="s">
        <v>90</v>
      </c>
      <c r="C32" t="s">
        <v>30</v>
      </c>
      <c r="D32">
        <v>30</v>
      </c>
      <c r="E32">
        <v>6</v>
      </c>
      <c r="F32">
        <v>3</v>
      </c>
      <c r="G32">
        <v>0.7</v>
      </c>
      <c r="H32">
        <v>5</v>
      </c>
      <c r="I32">
        <v>5</v>
      </c>
      <c r="J32">
        <v>0.4</v>
      </c>
      <c r="K32">
        <v>0.2</v>
      </c>
    </row>
    <row r="33" spans="1:11" x14ac:dyDescent="0.25">
      <c r="A33" s="1" t="s">
        <v>91</v>
      </c>
      <c r="B33" t="s">
        <v>92</v>
      </c>
      <c r="C33" t="s">
        <v>30</v>
      </c>
      <c r="D33">
        <v>24</v>
      </c>
      <c r="E33">
        <v>6</v>
      </c>
      <c r="F33">
        <v>9</v>
      </c>
      <c r="G33">
        <v>0.6</v>
      </c>
      <c r="H33">
        <v>3</v>
      </c>
      <c r="I33">
        <v>2</v>
      </c>
      <c r="J33">
        <v>1</v>
      </c>
      <c r="K33">
        <v>0.5</v>
      </c>
    </row>
    <row r="34" spans="1:11" x14ac:dyDescent="0.25">
      <c r="A34" s="1" t="s">
        <v>93</v>
      </c>
      <c r="B34" t="s">
        <v>94</v>
      </c>
      <c r="C34" t="s">
        <v>30</v>
      </c>
      <c r="D34">
        <v>9</v>
      </c>
      <c r="E34">
        <v>13</v>
      </c>
      <c r="F34">
        <v>4</v>
      </c>
      <c r="G34">
        <v>0.25</v>
      </c>
      <c r="H34">
        <v>2</v>
      </c>
      <c r="I34">
        <v>1</v>
      </c>
      <c r="J34">
        <v>2</v>
      </c>
      <c r="K34">
        <v>0.5</v>
      </c>
    </row>
    <row r="35" spans="1:11" x14ac:dyDescent="0.25">
      <c r="A35" s="1" t="s">
        <v>95</v>
      </c>
      <c r="B35" t="s">
        <v>96</v>
      </c>
      <c r="C35" t="s">
        <v>30</v>
      </c>
      <c r="D35">
        <v>40</v>
      </c>
      <c r="E35">
        <v>3</v>
      </c>
      <c r="F35">
        <v>6</v>
      </c>
      <c r="G35">
        <v>0.8</v>
      </c>
      <c r="H35">
        <v>4</v>
      </c>
      <c r="I35">
        <v>3</v>
      </c>
      <c r="J35">
        <v>0.6</v>
      </c>
      <c r="K35">
        <v>0.35</v>
      </c>
    </row>
    <row r="36" spans="1:11" x14ac:dyDescent="0.25">
      <c r="A36" s="1" t="s">
        <v>97</v>
      </c>
      <c r="B36" t="s">
        <v>98</v>
      </c>
      <c r="C36" t="s">
        <v>64</v>
      </c>
      <c r="D36">
        <v>6000</v>
      </c>
      <c r="E36">
        <v>14</v>
      </c>
      <c r="F36">
        <v>40</v>
      </c>
      <c r="G36">
        <v>100</v>
      </c>
      <c r="H36">
        <v>0</v>
      </c>
      <c r="I36">
        <v>0</v>
      </c>
      <c r="J36">
        <v>0</v>
      </c>
      <c r="K3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26" customWidth="1"/>
    <col min="3" max="26" width="13" customWidth="1"/>
  </cols>
  <sheetData>
    <row r="1" spans="1:26" x14ac:dyDescent="0.25">
      <c r="A1" s="2" t="s">
        <v>6</v>
      </c>
      <c r="B1" s="3" t="s">
        <v>7</v>
      </c>
      <c r="C1" s="3" t="s">
        <v>99</v>
      </c>
      <c r="D1" s="3" t="s">
        <v>100</v>
      </c>
      <c r="E1" s="3" t="s">
        <v>101</v>
      </c>
      <c r="F1" s="3" t="s">
        <v>102</v>
      </c>
      <c r="G1" s="3" t="s">
        <v>103</v>
      </c>
      <c r="H1" s="3" t="s">
        <v>104</v>
      </c>
      <c r="I1" s="3" t="s">
        <v>105</v>
      </c>
      <c r="J1" s="3" t="s">
        <v>106</v>
      </c>
      <c r="K1" s="3" t="s">
        <v>107</v>
      </c>
      <c r="L1" s="3" t="s">
        <v>108</v>
      </c>
      <c r="M1" s="3" t="s">
        <v>109</v>
      </c>
      <c r="N1" s="3" t="s">
        <v>110</v>
      </c>
      <c r="O1" s="3" t="s">
        <v>111</v>
      </c>
      <c r="P1" s="3" t="s">
        <v>112</v>
      </c>
      <c r="Q1" s="3" t="s">
        <v>113</v>
      </c>
      <c r="R1" s="3" t="s">
        <v>114</v>
      </c>
      <c r="S1" s="3" t="s">
        <v>115</v>
      </c>
      <c r="T1" s="3" t="s">
        <v>116</v>
      </c>
      <c r="U1" s="3" t="s">
        <v>117</v>
      </c>
      <c r="V1" s="3" t="s">
        <v>118</v>
      </c>
      <c r="W1" s="3" t="s">
        <v>119</v>
      </c>
      <c r="X1" s="3" t="s">
        <v>120</v>
      </c>
      <c r="Y1" s="3" t="s">
        <v>121</v>
      </c>
      <c r="Z1" s="3" t="s">
        <v>10</v>
      </c>
    </row>
    <row r="2" ht="78" customHeight="1" spans="1:26" x14ac:dyDescent="0.25">
      <c r="A2" s="4" t="s">
        <v>122</v>
      </c>
      <c r="B2" s="5" t="s">
        <v>123</v>
      </c>
      <c r="C2" s="5" t="s">
        <v>124</v>
      </c>
      <c r="D2" s="5" t="s">
        <v>125</v>
      </c>
      <c r="E2" s="5" t="s">
        <v>126</v>
      </c>
      <c r="F2" s="5" t="s">
        <v>127</v>
      </c>
      <c r="G2" s="5" t="s">
        <v>128</v>
      </c>
      <c r="H2" s="5" t="s">
        <v>129</v>
      </c>
      <c r="I2" s="5" t="s">
        <v>130</v>
      </c>
      <c r="J2" s="5" t="s">
        <v>131</v>
      </c>
      <c r="K2" s="5" t="s">
        <v>132</v>
      </c>
      <c r="L2" s="5" t="s">
        <v>133</v>
      </c>
      <c r="M2" s="5" t="s">
        <v>134</v>
      </c>
      <c r="N2" s="5" t="s">
        <v>135</v>
      </c>
      <c r="O2" s="5" t="s">
        <v>136</v>
      </c>
      <c r="P2" s="5" t="s">
        <v>137</v>
      </c>
      <c r="Q2" s="5" t="s">
        <v>138</v>
      </c>
      <c r="R2" s="5" t="s">
        <v>139</v>
      </c>
      <c r="S2" s="5" t="s">
        <v>140</v>
      </c>
      <c r="T2" s="5" t="s">
        <v>141</v>
      </c>
      <c r="U2" s="5" t="s">
        <v>142</v>
      </c>
      <c r="V2" s="5" t="s">
        <v>143</v>
      </c>
      <c r="W2" s="5" t="s">
        <v>144</v>
      </c>
      <c r="X2" s="5" t="s">
        <v>145</v>
      </c>
      <c r="Y2" s="5" t="s">
        <v>136</v>
      </c>
      <c r="Z2" s="5" t="s">
        <v>146</v>
      </c>
    </row>
    <row r="3" spans="1:26" x14ac:dyDescent="0.25">
      <c r="A3" s="1" t="s">
        <v>147</v>
      </c>
      <c r="B3" t="s">
        <v>148</v>
      </c>
      <c r="C3" t="s">
        <v>149</v>
      </c>
      <c r="D3">
        <v>5</v>
      </c>
      <c r="E3">
        <v>3</v>
      </c>
      <c r="F3">
        <v>1.4</v>
      </c>
      <c r="G3">
        <v>0</v>
      </c>
      <c r="H3">
        <v>1.1</v>
      </c>
      <c r="I3">
        <v>0</v>
      </c>
      <c r="J3">
        <v>0</v>
      </c>
      <c r="K3">
        <v>0.12</v>
      </c>
      <c r="L3">
        <v>0</v>
      </c>
      <c r="M3">
        <v>1.5</v>
      </c>
      <c r="N3">
        <v>22</v>
      </c>
      <c r="O3">
        <v>0</v>
      </c>
      <c r="P3">
        <v>0</v>
      </c>
      <c r="Q3">
        <v>0</v>
      </c>
      <c r="R3">
        <v>0</v>
      </c>
      <c r="S3">
        <v>1</v>
      </c>
      <c r="T3">
        <v>2</v>
      </c>
      <c r="U3">
        <v>1</v>
      </c>
      <c r="V3">
        <v>5</v>
      </c>
      <c r="W3">
        <v>1.2</v>
      </c>
      <c r="X3">
        <v>0</v>
      </c>
      <c r="Y3">
        <v>0</v>
      </c>
      <c r="Z3">
        <v>30</v>
      </c>
    </row>
    <row r="4" spans="1:26" x14ac:dyDescent="0.25">
      <c r="A4" s="1" t="s">
        <v>150</v>
      </c>
      <c r="B4" t="s">
        <v>151</v>
      </c>
      <c r="C4" t="s">
        <v>152</v>
      </c>
      <c r="D4">
        <v>8</v>
      </c>
      <c r="E4">
        <v>4</v>
      </c>
      <c r="F4">
        <v>1</v>
      </c>
      <c r="G4">
        <v>30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2.6</v>
      </c>
      <c r="Q4">
        <v>0</v>
      </c>
      <c r="R4">
        <v>4.5</v>
      </c>
      <c r="S4">
        <v>1</v>
      </c>
      <c r="T4">
        <v>1</v>
      </c>
      <c r="U4">
        <v>0</v>
      </c>
      <c r="V4">
        <v>8</v>
      </c>
      <c r="W4">
        <v>0</v>
      </c>
      <c r="X4">
        <v>0</v>
      </c>
      <c r="Y4">
        <v>0</v>
      </c>
      <c r="Z4">
        <v>0</v>
      </c>
    </row>
    <row r="5" spans="1:26" x14ac:dyDescent="0.25">
      <c r="A5" s="1" t="s">
        <v>153</v>
      </c>
      <c r="B5" t="s">
        <v>154</v>
      </c>
      <c r="C5" t="s">
        <v>155</v>
      </c>
      <c r="D5">
        <v>10</v>
      </c>
      <c r="E5">
        <v>6</v>
      </c>
      <c r="F5">
        <v>1</v>
      </c>
      <c r="G5">
        <v>50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0.8</v>
      </c>
      <c r="Q5">
        <v>0.08</v>
      </c>
      <c r="R5">
        <v>1.7</v>
      </c>
      <c r="S5">
        <v>0</v>
      </c>
      <c r="T5">
        <v>0</v>
      </c>
      <c r="U5">
        <v>0</v>
      </c>
      <c r="V5">
        <v>0</v>
      </c>
      <c r="W5">
        <v>1.2</v>
      </c>
      <c r="X5">
        <v>0.3</v>
      </c>
      <c r="Y5">
        <v>4</v>
      </c>
      <c r="Z5">
        <v>0</v>
      </c>
    </row>
    <row r="6" spans="1:26" x14ac:dyDescent="0.25">
      <c r="A6" s="1" t="s">
        <v>156</v>
      </c>
      <c r="B6" t="s">
        <v>157</v>
      </c>
      <c r="C6" t="s">
        <v>158</v>
      </c>
      <c r="D6">
        <v>30</v>
      </c>
      <c r="E6">
        <v>15</v>
      </c>
      <c r="F6">
        <v>1</v>
      </c>
      <c r="G6">
        <v>0</v>
      </c>
      <c r="H6">
        <v>3.2</v>
      </c>
      <c r="I6">
        <v>0.8</v>
      </c>
      <c r="J6">
        <v>0.3</v>
      </c>
      <c r="K6">
        <v>0</v>
      </c>
      <c r="L6">
        <v>0</v>
      </c>
      <c r="M6">
        <v>1</v>
      </c>
      <c r="N6">
        <v>18</v>
      </c>
      <c r="O6">
        <v>0</v>
      </c>
      <c r="P6">
        <v>3</v>
      </c>
      <c r="Q6">
        <v>0.3</v>
      </c>
      <c r="R6">
        <v>0</v>
      </c>
      <c r="S6">
        <v>1</v>
      </c>
      <c r="T6">
        <v>3</v>
      </c>
      <c r="U6">
        <v>0</v>
      </c>
      <c r="V6">
        <v>0</v>
      </c>
      <c r="W6">
        <v>0.6</v>
      </c>
      <c r="X6">
        <v>0</v>
      </c>
      <c r="Y6">
        <v>0</v>
      </c>
      <c r="Z6">
        <v>0</v>
      </c>
    </row>
    <row r="7" spans="1:26" x14ac:dyDescent="0.25">
      <c r="A7" s="1" t="s">
        <v>159</v>
      </c>
      <c r="B7" t="s">
        <v>160</v>
      </c>
      <c r="C7" t="s">
        <v>161</v>
      </c>
      <c r="D7">
        <v>18</v>
      </c>
      <c r="E7">
        <v>8</v>
      </c>
      <c r="F7">
        <v>1.5</v>
      </c>
      <c r="G7">
        <v>0</v>
      </c>
      <c r="H7">
        <v>1.4</v>
      </c>
      <c r="I7">
        <v>0.5</v>
      </c>
      <c r="J7">
        <v>0.1</v>
      </c>
      <c r="K7">
        <v>0</v>
      </c>
      <c r="L7">
        <v>0.45</v>
      </c>
      <c r="M7">
        <v>1</v>
      </c>
      <c r="N7">
        <v>9</v>
      </c>
      <c r="O7">
        <v>0</v>
      </c>
      <c r="P7">
        <v>0</v>
      </c>
      <c r="Q7">
        <v>0</v>
      </c>
      <c r="R7">
        <v>0</v>
      </c>
      <c r="S7">
        <v>2</v>
      </c>
      <c r="T7">
        <v>1</v>
      </c>
      <c r="U7">
        <v>0</v>
      </c>
      <c r="V7">
        <v>10</v>
      </c>
      <c r="W7">
        <v>0</v>
      </c>
      <c r="X7">
        <v>0</v>
      </c>
      <c r="Y7">
        <v>0</v>
      </c>
      <c r="Z7">
        <v>0</v>
      </c>
    </row>
    <row r="8" spans="1:26" x14ac:dyDescent="0.25">
      <c r="A8" s="1" t="s">
        <v>162</v>
      </c>
      <c r="B8" t="s">
        <v>163</v>
      </c>
      <c r="C8" t="s">
        <v>164</v>
      </c>
      <c r="D8">
        <v>0</v>
      </c>
      <c r="E8">
        <v>0.35</v>
      </c>
      <c r="F8">
        <v>1.5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s="1" t="s">
        <v>165</v>
      </c>
      <c r="B9" t="s">
        <v>166</v>
      </c>
      <c r="C9" t="s">
        <v>167</v>
      </c>
      <c r="D9">
        <v>3</v>
      </c>
      <c r="E9">
        <v>1.5</v>
      </c>
      <c r="F9">
        <v>1.6</v>
      </c>
      <c r="G9">
        <v>0</v>
      </c>
      <c r="H9">
        <v>1.9</v>
      </c>
      <c r="I9">
        <v>0.9</v>
      </c>
      <c r="J9">
        <v>0.15</v>
      </c>
      <c r="K9">
        <v>0</v>
      </c>
      <c r="L9">
        <v>0.4</v>
      </c>
      <c r="M9">
        <v>1</v>
      </c>
      <c r="N9">
        <v>0</v>
      </c>
      <c r="O9">
        <v>0</v>
      </c>
      <c r="P9">
        <v>8</v>
      </c>
      <c r="Q9">
        <v>0.6</v>
      </c>
      <c r="R9">
        <v>13</v>
      </c>
      <c r="S9">
        <v>0</v>
      </c>
      <c r="T9">
        <v>0</v>
      </c>
      <c r="U9">
        <v>0</v>
      </c>
      <c r="V9">
        <v>0</v>
      </c>
      <c r="W9">
        <v>0.5</v>
      </c>
      <c r="X9">
        <v>0.05</v>
      </c>
      <c r="Y9">
        <v>1.2</v>
      </c>
      <c r="Z9">
        <v>0</v>
      </c>
    </row>
    <row r="10" spans="1:26" x14ac:dyDescent="0.25">
      <c r="A10" s="1" t="s">
        <v>168</v>
      </c>
      <c r="B10" t="s">
        <v>169</v>
      </c>
      <c r="C10" t="s">
        <v>149</v>
      </c>
      <c r="D10">
        <v>14</v>
      </c>
      <c r="E10">
        <v>6</v>
      </c>
      <c r="F10">
        <v>1</v>
      </c>
      <c r="G10">
        <v>40</v>
      </c>
      <c r="H10">
        <v>1.5</v>
      </c>
      <c r="I10">
        <v>0.6</v>
      </c>
      <c r="J10">
        <v>0.15</v>
      </c>
      <c r="K10">
        <v>0</v>
      </c>
      <c r="L10">
        <v>0</v>
      </c>
      <c r="M10">
        <v>1</v>
      </c>
      <c r="N10">
        <v>0</v>
      </c>
      <c r="O10">
        <v>0</v>
      </c>
      <c r="P10">
        <v>9</v>
      </c>
      <c r="Q10">
        <v>0.8</v>
      </c>
      <c r="R10">
        <v>0</v>
      </c>
      <c r="S10">
        <v>1</v>
      </c>
      <c r="T10">
        <v>2</v>
      </c>
      <c r="U10">
        <v>1</v>
      </c>
      <c r="V10">
        <v>0</v>
      </c>
      <c r="W10">
        <v>0</v>
      </c>
      <c r="X10">
        <v>0</v>
      </c>
      <c r="Y10">
        <v>0</v>
      </c>
      <c r="Z10">
        <v>26</v>
      </c>
    </row>
    <row r="11" spans="1:26" x14ac:dyDescent="0.25">
      <c r="A11" s="1" t="s">
        <v>170</v>
      </c>
      <c r="B11" t="s">
        <v>171</v>
      </c>
      <c r="C11" t="s">
        <v>172</v>
      </c>
      <c r="D11">
        <v>12</v>
      </c>
      <c r="E11">
        <v>6</v>
      </c>
      <c r="F11">
        <v>1</v>
      </c>
      <c r="G11">
        <v>45</v>
      </c>
      <c r="H11">
        <v>3.8</v>
      </c>
      <c r="I11">
        <v>1.8</v>
      </c>
      <c r="J11">
        <v>0.35</v>
      </c>
      <c r="K11">
        <v>0</v>
      </c>
      <c r="L11">
        <v>2.4</v>
      </c>
      <c r="M11">
        <v>1</v>
      </c>
      <c r="N11">
        <v>20</v>
      </c>
      <c r="O11">
        <v>24</v>
      </c>
      <c r="P11">
        <v>1.8</v>
      </c>
      <c r="Q11">
        <v>0.2</v>
      </c>
      <c r="R11">
        <v>3</v>
      </c>
      <c r="S11">
        <v>1</v>
      </c>
      <c r="T11">
        <v>2</v>
      </c>
      <c r="U11">
        <v>0</v>
      </c>
      <c r="V11">
        <v>6</v>
      </c>
      <c r="W11">
        <v>3</v>
      </c>
      <c r="X11">
        <v>0.4</v>
      </c>
      <c r="Y11">
        <v>5.5</v>
      </c>
      <c r="Z11">
        <v>0</v>
      </c>
    </row>
    <row r="12" spans="1:26" x14ac:dyDescent="0.25">
      <c r="A12" s="1" t="s">
        <v>173</v>
      </c>
      <c r="B12" t="s">
        <v>174</v>
      </c>
      <c r="C12" t="s">
        <v>149</v>
      </c>
      <c r="D12">
        <v>12</v>
      </c>
      <c r="E12">
        <v>5</v>
      </c>
      <c r="F12">
        <v>1</v>
      </c>
      <c r="G12">
        <v>40</v>
      </c>
      <c r="H12">
        <v>1.4</v>
      </c>
      <c r="I12">
        <v>0.6</v>
      </c>
      <c r="J12">
        <v>0.15</v>
      </c>
      <c r="K12">
        <v>0</v>
      </c>
      <c r="L12">
        <v>0.5</v>
      </c>
      <c r="M12">
        <v>1</v>
      </c>
      <c r="N12">
        <v>0</v>
      </c>
      <c r="O12">
        <v>0</v>
      </c>
      <c r="P12">
        <v>10</v>
      </c>
      <c r="Q12">
        <v>1</v>
      </c>
      <c r="R12">
        <v>15</v>
      </c>
      <c r="S12">
        <v>1</v>
      </c>
      <c r="T12">
        <v>4</v>
      </c>
      <c r="U12">
        <v>0</v>
      </c>
      <c r="V12">
        <v>3</v>
      </c>
      <c r="W12">
        <v>1.4</v>
      </c>
      <c r="X12">
        <v>0</v>
      </c>
      <c r="Y12">
        <v>1.1</v>
      </c>
      <c r="Z12">
        <v>0</v>
      </c>
    </row>
    <row r="13" spans="1:26" x14ac:dyDescent="0.25">
      <c r="A13" s="1" t="s">
        <v>175</v>
      </c>
      <c r="B13" t="s">
        <v>176</v>
      </c>
      <c r="C13" t="s">
        <v>149</v>
      </c>
      <c r="D13">
        <v>8</v>
      </c>
      <c r="E13">
        <v>3</v>
      </c>
      <c r="F13">
        <v>1.3</v>
      </c>
      <c r="G13">
        <v>0</v>
      </c>
      <c r="H13">
        <v>1.4</v>
      </c>
      <c r="I13">
        <v>0</v>
      </c>
      <c r="J13">
        <v>0</v>
      </c>
      <c r="K13">
        <v>0.1</v>
      </c>
      <c r="L13">
        <v>0</v>
      </c>
      <c r="M13">
        <v>1.3</v>
      </c>
      <c r="N13">
        <v>24</v>
      </c>
      <c r="O13">
        <v>0</v>
      </c>
      <c r="P13">
        <v>0</v>
      </c>
      <c r="Q13">
        <v>0</v>
      </c>
      <c r="R13">
        <v>0</v>
      </c>
      <c r="S13">
        <v>1</v>
      </c>
      <c r="T13">
        <v>4</v>
      </c>
      <c r="U13">
        <v>0</v>
      </c>
      <c r="V13">
        <v>3</v>
      </c>
      <c r="W13">
        <v>1.3</v>
      </c>
      <c r="X13">
        <v>0</v>
      </c>
      <c r="Y13">
        <v>0</v>
      </c>
      <c r="Z13">
        <v>26</v>
      </c>
    </row>
    <row r="14" spans="1:26" x14ac:dyDescent="0.25">
      <c r="A14" s="1" t="s">
        <v>177</v>
      </c>
      <c r="B14" t="s">
        <v>178</v>
      </c>
      <c r="C14" t="s">
        <v>179</v>
      </c>
      <c r="D14">
        <v>9</v>
      </c>
      <c r="E14">
        <v>4</v>
      </c>
      <c r="F14">
        <v>1.5</v>
      </c>
      <c r="G14">
        <v>0</v>
      </c>
      <c r="H14">
        <v>2.6</v>
      </c>
      <c r="I14">
        <v>1.4</v>
      </c>
      <c r="J14">
        <v>0.2</v>
      </c>
      <c r="K14">
        <v>0</v>
      </c>
      <c r="L14">
        <v>2.2</v>
      </c>
      <c r="M14">
        <v>1</v>
      </c>
      <c r="N14">
        <v>0</v>
      </c>
      <c r="O14">
        <v>0</v>
      </c>
      <c r="P14">
        <v>8</v>
      </c>
      <c r="Q14">
        <v>0.8</v>
      </c>
      <c r="R14">
        <v>17</v>
      </c>
      <c r="S14">
        <v>0</v>
      </c>
      <c r="T14">
        <v>0</v>
      </c>
      <c r="U14">
        <v>0</v>
      </c>
      <c r="V14">
        <v>0</v>
      </c>
      <c r="W14">
        <v>0.45</v>
      </c>
      <c r="X14">
        <v>0</v>
      </c>
      <c r="Y14">
        <v>0</v>
      </c>
      <c r="Z14">
        <v>0</v>
      </c>
    </row>
    <row r="15" spans="1:26" x14ac:dyDescent="0.25">
      <c r="A15" s="1" t="s">
        <v>180</v>
      </c>
      <c r="B15" t="s">
        <v>181</v>
      </c>
      <c r="C15" t="s">
        <v>182</v>
      </c>
      <c r="D15">
        <v>10</v>
      </c>
      <c r="E15">
        <v>4</v>
      </c>
      <c r="F15">
        <v>1.4</v>
      </c>
      <c r="G15">
        <v>0</v>
      </c>
      <c r="H15">
        <v>3</v>
      </c>
      <c r="I15">
        <v>1.2</v>
      </c>
      <c r="J15">
        <v>0.3</v>
      </c>
      <c r="K15">
        <v>0</v>
      </c>
      <c r="L15">
        <v>0</v>
      </c>
      <c r="M15">
        <v>1</v>
      </c>
      <c r="N15">
        <v>22</v>
      </c>
      <c r="O15">
        <v>0</v>
      </c>
      <c r="P15">
        <v>0</v>
      </c>
      <c r="Q15">
        <v>0</v>
      </c>
      <c r="R15">
        <v>7</v>
      </c>
      <c r="S15">
        <v>0</v>
      </c>
      <c r="T15">
        <v>0</v>
      </c>
      <c r="U15">
        <v>0</v>
      </c>
      <c r="V15">
        <v>0</v>
      </c>
      <c r="W15">
        <v>2.2</v>
      </c>
      <c r="X15">
        <v>0.4</v>
      </c>
      <c r="Y15">
        <v>0</v>
      </c>
      <c r="Z15">
        <v>24</v>
      </c>
    </row>
    <row r="16" spans="1:26" x14ac:dyDescent="0.25">
      <c r="A16" s="1" t="s">
        <v>183</v>
      </c>
      <c r="B16" t="s">
        <v>184</v>
      </c>
      <c r="C16" t="s">
        <v>185</v>
      </c>
      <c r="D16">
        <v>10</v>
      </c>
      <c r="E16">
        <v>5</v>
      </c>
      <c r="F16">
        <v>1.3</v>
      </c>
      <c r="G16">
        <v>0</v>
      </c>
      <c r="H16">
        <v>4.2</v>
      </c>
      <c r="I16">
        <v>2.2</v>
      </c>
      <c r="J16">
        <v>0.35</v>
      </c>
      <c r="K16">
        <v>0</v>
      </c>
      <c r="L16">
        <v>1.9</v>
      </c>
      <c r="M16">
        <v>1</v>
      </c>
      <c r="N16">
        <v>20</v>
      </c>
      <c r="O16">
        <v>26</v>
      </c>
      <c r="P16">
        <v>7</v>
      </c>
      <c r="Q16">
        <v>0.6</v>
      </c>
      <c r="R16">
        <v>13</v>
      </c>
      <c r="S16">
        <v>2</v>
      </c>
      <c r="T16">
        <v>1</v>
      </c>
      <c r="U16">
        <v>1</v>
      </c>
      <c r="V16">
        <v>8</v>
      </c>
      <c r="W16">
        <v>0</v>
      </c>
      <c r="X16">
        <v>0</v>
      </c>
      <c r="Y16">
        <v>0</v>
      </c>
      <c r="Z16">
        <v>28</v>
      </c>
    </row>
    <row r="17" spans="1:26" x14ac:dyDescent="0.25">
      <c r="A17" s="1" t="s">
        <v>186</v>
      </c>
      <c r="B17" t="s">
        <v>187</v>
      </c>
      <c r="C17" t="s">
        <v>188</v>
      </c>
      <c r="D17">
        <v>9</v>
      </c>
      <c r="E17">
        <v>5</v>
      </c>
      <c r="F17">
        <v>1</v>
      </c>
      <c r="G17">
        <v>55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1.1</v>
      </c>
      <c r="Q17">
        <v>0.1</v>
      </c>
      <c r="R17">
        <v>2</v>
      </c>
      <c r="S17">
        <v>3</v>
      </c>
      <c r="T17">
        <v>1</v>
      </c>
      <c r="U17">
        <v>1</v>
      </c>
      <c r="V17">
        <v>10</v>
      </c>
      <c r="W17">
        <v>3</v>
      </c>
      <c r="X17">
        <v>0.6</v>
      </c>
      <c r="Y17">
        <v>8</v>
      </c>
      <c r="Z17">
        <v>0</v>
      </c>
    </row>
    <row r="18" spans="1:26" x14ac:dyDescent="0.25">
      <c r="A18" s="1" t="s">
        <v>189</v>
      </c>
      <c r="B18" t="s">
        <v>190</v>
      </c>
      <c r="C18" t="s">
        <v>191</v>
      </c>
      <c r="D18">
        <v>7</v>
      </c>
      <c r="E18">
        <v>3</v>
      </c>
      <c r="F18">
        <v>1.7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8</v>
      </c>
      <c r="Q18">
        <v>0.7</v>
      </c>
      <c r="R18">
        <v>16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s="1" t="s">
        <v>192</v>
      </c>
      <c r="B19" t="s">
        <v>193</v>
      </c>
      <c r="C19" t="s">
        <v>194</v>
      </c>
      <c r="D19">
        <v>6</v>
      </c>
      <c r="E19">
        <v>2.5</v>
      </c>
      <c r="F19">
        <v>1.3</v>
      </c>
      <c r="G19">
        <v>0</v>
      </c>
      <c r="H19">
        <v>4.5</v>
      </c>
      <c r="I19">
        <v>2.6</v>
      </c>
      <c r="J19">
        <v>0.3</v>
      </c>
      <c r="K19">
        <v>0</v>
      </c>
      <c r="L19">
        <v>2.4</v>
      </c>
      <c r="M19">
        <v>1</v>
      </c>
      <c r="N19">
        <v>0</v>
      </c>
      <c r="O19">
        <v>0</v>
      </c>
      <c r="P19">
        <v>8</v>
      </c>
      <c r="Q19">
        <v>0.5</v>
      </c>
      <c r="R19">
        <v>13</v>
      </c>
      <c r="S19">
        <v>2</v>
      </c>
      <c r="T19">
        <v>2</v>
      </c>
      <c r="U19">
        <v>1</v>
      </c>
      <c r="V19">
        <v>7</v>
      </c>
      <c r="W19">
        <v>2.2</v>
      </c>
      <c r="X19">
        <v>0.2</v>
      </c>
      <c r="Y19">
        <v>4.5</v>
      </c>
      <c r="Z19">
        <v>18</v>
      </c>
    </row>
    <row r="20" spans="1:26" x14ac:dyDescent="0.25">
      <c r="A20" s="1" t="s">
        <v>195</v>
      </c>
      <c r="B20" t="s">
        <v>196</v>
      </c>
      <c r="C20" t="s">
        <v>197</v>
      </c>
      <c r="D20">
        <v>24</v>
      </c>
      <c r="E20">
        <v>9</v>
      </c>
      <c r="F20">
        <v>1.5</v>
      </c>
      <c r="G20">
        <v>0</v>
      </c>
      <c r="H20">
        <v>2.8</v>
      </c>
      <c r="I20">
        <v>1.4</v>
      </c>
      <c r="J20">
        <v>0.35</v>
      </c>
      <c r="K20">
        <v>0</v>
      </c>
      <c r="L20">
        <v>2</v>
      </c>
      <c r="M20">
        <v>1</v>
      </c>
      <c r="N20">
        <v>20</v>
      </c>
      <c r="O20">
        <v>0</v>
      </c>
      <c r="P20">
        <v>1.2</v>
      </c>
      <c r="Q20">
        <v>0.1</v>
      </c>
      <c r="R20">
        <v>2.2</v>
      </c>
      <c r="S20">
        <v>1</v>
      </c>
      <c r="T20">
        <v>2</v>
      </c>
      <c r="U20">
        <v>0</v>
      </c>
      <c r="V20">
        <v>4</v>
      </c>
      <c r="W20">
        <v>2.5</v>
      </c>
      <c r="X20">
        <v>0.3</v>
      </c>
      <c r="Y20">
        <v>5</v>
      </c>
      <c r="Z20">
        <v>7</v>
      </c>
    </row>
    <row r="21" spans="1:26" x14ac:dyDescent="0.25">
      <c r="A21" s="1" t="s">
        <v>198</v>
      </c>
      <c r="B21" t="s">
        <v>199</v>
      </c>
      <c r="C21" t="s">
        <v>182</v>
      </c>
      <c r="D21">
        <v>28</v>
      </c>
      <c r="E21">
        <v>12</v>
      </c>
      <c r="F21">
        <v>1.5</v>
      </c>
      <c r="G21">
        <v>0</v>
      </c>
      <c r="H21">
        <v>2.2</v>
      </c>
      <c r="I21">
        <v>0.9</v>
      </c>
      <c r="J21">
        <v>0.25</v>
      </c>
      <c r="K21">
        <v>0</v>
      </c>
      <c r="L21">
        <v>1</v>
      </c>
      <c r="M21">
        <v>1</v>
      </c>
      <c r="N21">
        <v>0</v>
      </c>
      <c r="O21">
        <v>0</v>
      </c>
      <c r="P21">
        <v>6</v>
      </c>
      <c r="Q21">
        <v>0.6</v>
      </c>
      <c r="R21">
        <v>10</v>
      </c>
      <c r="S21">
        <v>0</v>
      </c>
      <c r="T21">
        <v>0</v>
      </c>
      <c r="U21">
        <v>0</v>
      </c>
      <c r="V21">
        <v>0</v>
      </c>
      <c r="W21">
        <v>0.9</v>
      </c>
      <c r="X21">
        <v>0.1</v>
      </c>
      <c r="Y21">
        <v>2</v>
      </c>
      <c r="Z21">
        <v>0</v>
      </c>
    </row>
    <row r="22" spans="1:26" x14ac:dyDescent="0.25">
      <c r="A22" s="1" t="s">
        <v>200</v>
      </c>
      <c r="B22" t="s">
        <v>201</v>
      </c>
      <c r="C22" t="s">
        <v>202</v>
      </c>
      <c r="D22">
        <v>12</v>
      </c>
      <c r="E22">
        <v>5</v>
      </c>
      <c r="F22">
        <v>1.3</v>
      </c>
      <c r="G22">
        <v>0</v>
      </c>
      <c r="H22">
        <v>1</v>
      </c>
      <c r="I22">
        <v>0.6</v>
      </c>
      <c r="J22">
        <v>0.15</v>
      </c>
      <c r="K22">
        <v>0</v>
      </c>
      <c r="L22">
        <v>0.7</v>
      </c>
      <c r="M22">
        <v>1</v>
      </c>
      <c r="N22">
        <v>22</v>
      </c>
      <c r="O22">
        <v>0</v>
      </c>
      <c r="P22">
        <v>3</v>
      </c>
      <c r="Q22">
        <v>0.3</v>
      </c>
      <c r="R22">
        <v>4.5</v>
      </c>
      <c r="S22">
        <v>1</v>
      </c>
      <c r="T22">
        <v>2</v>
      </c>
      <c r="U22">
        <v>1</v>
      </c>
      <c r="V22">
        <v>2</v>
      </c>
      <c r="W22">
        <v>1</v>
      </c>
      <c r="X22">
        <v>0</v>
      </c>
      <c r="Y22">
        <v>0</v>
      </c>
      <c r="Z22">
        <v>32</v>
      </c>
    </row>
    <row r="23" spans="1:26" x14ac:dyDescent="0.25">
      <c r="A23" s="1" t="s">
        <v>203</v>
      </c>
      <c r="B23" t="s">
        <v>204</v>
      </c>
      <c r="C23" t="s">
        <v>205</v>
      </c>
      <c r="D23">
        <v>10</v>
      </c>
      <c r="E23">
        <v>4</v>
      </c>
      <c r="F23">
        <v>2.2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0.9</v>
      </c>
      <c r="Q23">
        <v>0.08</v>
      </c>
      <c r="R23">
        <v>1.3</v>
      </c>
      <c r="S23">
        <v>6</v>
      </c>
      <c r="T23">
        <v>1</v>
      </c>
      <c r="U23">
        <v>1</v>
      </c>
      <c r="V23">
        <v>14</v>
      </c>
      <c r="W23">
        <v>8</v>
      </c>
      <c r="X23">
        <v>1</v>
      </c>
      <c r="Y23">
        <v>14</v>
      </c>
      <c r="Z23">
        <v>0</v>
      </c>
    </row>
    <row r="24" spans="1:26" x14ac:dyDescent="0.25">
      <c r="A24" s="1" t="s">
        <v>206</v>
      </c>
      <c r="B24" t="s">
        <v>207</v>
      </c>
      <c r="C24" t="s">
        <v>182</v>
      </c>
      <c r="D24">
        <v>6</v>
      </c>
      <c r="E24">
        <v>3</v>
      </c>
      <c r="F24">
        <v>1.6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2.2</v>
      </c>
      <c r="Q24">
        <v>0.2</v>
      </c>
      <c r="R24">
        <v>3.4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s="1" t="s">
        <v>73</v>
      </c>
      <c r="B25" t="s">
        <v>208</v>
      </c>
      <c r="C25" t="s">
        <v>158</v>
      </c>
      <c r="D25">
        <v>20</v>
      </c>
      <c r="E25">
        <v>8</v>
      </c>
      <c r="F25">
        <v>1.4</v>
      </c>
      <c r="G25">
        <v>0</v>
      </c>
      <c r="H25">
        <v>2.8</v>
      </c>
      <c r="I25">
        <v>1.4</v>
      </c>
      <c r="J25">
        <v>0.25</v>
      </c>
      <c r="K25">
        <v>0</v>
      </c>
      <c r="L25">
        <v>1.6</v>
      </c>
      <c r="M25">
        <v>1</v>
      </c>
      <c r="N25">
        <v>30</v>
      </c>
      <c r="O25">
        <v>0</v>
      </c>
      <c r="P25">
        <v>3.2</v>
      </c>
      <c r="Q25">
        <v>0.3</v>
      </c>
      <c r="R25">
        <v>5</v>
      </c>
      <c r="S25">
        <v>1</v>
      </c>
      <c r="T25">
        <v>2</v>
      </c>
      <c r="U25">
        <v>1</v>
      </c>
      <c r="V25">
        <v>4</v>
      </c>
      <c r="W25">
        <v>3</v>
      </c>
      <c r="X25">
        <v>0</v>
      </c>
      <c r="Y25">
        <v>0</v>
      </c>
      <c r="Z25">
        <v>14</v>
      </c>
    </row>
    <row r="26" spans="1:26" x14ac:dyDescent="0.25">
      <c r="A26" s="1" t="s">
        <v>209</v>
      </c>
      <c r="B26" t="s">
        <v>210</v>
      </c>
      <c r="C26" t="s">
        <v>211</v>
      </c>
      <c r="D26">
        <v>8</v>
      </c>
      <c r="E26">
        <v>3</v>
      </c>
      <c r="F26">
        <v>1.5</v>
      </c>
      <c r="G26">
        <v>0</v>
      </c>
      <c r="H26">
        <v>3</v>
      </c>
      <c r="I26">
        <v>1.6</v>
      </c>
      <c r="J26">
        <v>0.25</v>
      </c>
      <c r="K26">
        <v>0</v>
      </c>
      <c r="L26">
        <v>1.5</v>
      </c>
      <c r="M26">
        <v>1</v>
      </c>
      <c r="N26">
        <v>16</v>
      </c>
      <c r="O26">
        <v>22</v>
      </c>
      <c r="P26">
        <v>1.2</v>
      </c>
      <c r="Q26">
        <v>0.1</v>
      </c>
      <c r="R26">
        <v>2.2</v>
      </c>
      <c r="S26">
        <v>1</v>
      </c>
      <c r="T26">
        <v>3</v>
      </c>
      <c r="U26">
        <v>1</v>
      </c>
      <c r="V26">
        <v>3</v>
      </c>
      <c r="W26">
        <v>1.5</v>
      </c>
      <c r="X26">
        <v>0.3</v>
      </c>
      <c r="Y26">
        <v>2.5</v>
      </c>
      <c r="Z26">
        <v>0</v>
      </c>
    </row>
    <row r="27" spans="1:26" x14ac:dyDescent="0.25">
      <c r="A27" s="1" t="s">
        <v>212</v>
      </c>
      <c r="B27" t="s">
        <v>213</v>
      </c>
      <c r="C27" t="s">
        <v>179</v>
      </c>
      <c r="D27">
        <v>10</v>
      </c>
      <c r="E27">
        <v>4</v>
      </c>
      <c r="F27">
        <v>1.4</v>
      </c>
      <c r="G27">
        <v>0</v>
      </c>
      <c r="H27">
        <v>1.2</v>
      </c>
      <c r="I27">
        <v>0.7</v>
      </c>
      <c r="J27">
        <v>0.1</v>
      </c>
      <c r="K27">
        <v>0</v>
      </c>
      <c r="L27">
        <v>0.7</v>
      </c>
      <c r="M27">
        <v>1</v>
      </c>
      <c r="N27">
        <v>0</v>
      </c>
      <c r="O27">
        <v>0</v>
      </c>
      <c r="P27">
        <v>5</v>
      </c>
      <c r="Q27">
        <v>0.5</v>
      </c>
      <c r="R27">
        <v>9</v>
      </c>
      <c r="S27">
        <v>0</v>
      </c>
      <c r="T27">
        <v>0</v>
      </c>
      <c r="U27">
        <v>0</v>
      </c>
      <c r="V27">
        <v>0</v>
      </c>
      <c r="W27">
        <v>0.35</v>
      </c>
      <c r="X27">
        <v>0</v>
      </c>
      <c r="Y27">
        <v>2</v>
      </c>
      <c r="Z2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26" customWidth="1"/>
    <col min="3" max="6" width="13" customWidth="1"/>
  </cols>
  <sheetData>
    <row r="1" spans="1:6" x14ac:dyDescent="0.25">
      <c r="A1" s="2" t="s">
        <v>6</v>
      </c>
      <c r="B1" s="3" t="s">
        <v>7</v>
      </c>
      <c r="C1" s="3" t="s">
        <v>214</v>
      </c>
      <c r="D1" s="3" t="s">
        <v>215</v>
      </c>
      <c r="E1" s="3" t="s">
        <v>216</v>
      </c>
      <c r="F1" s="3" t="s">
        <v>217</v>
      </c>
    </row>
    <row r="2" ht="78" customHeight="1" spans="1:6" x14ac:dyDescent="0.25">
      <c r="A2" s="4" t="s">
        <v>218</v>
      </c>
      <c r="B2" s="5" t="s">
        <v>123</v>
      </c>
      <c r="C2" s="5" t="s">
        <v>219</v>
      </c>
      <c r="D2" s="5" t="s">
        <v>220</v>
      </c>
      <c r="E2" s="5" t="s">
        <v>221</v>
      </c>
      <c r="F2" s="5" t="s">
        <v>222</v>
      </c>
    </row>
    <row r="3" spans="1:6" x14ac:dyDescent="0.25">
      <c r="A3" s="1" t="s">
        <v>223</v>
      </c>
      <c r="B3" t="s">
        <v>224</v>
      </c>
      <c r="C3">
        <v>6</v>
      </c>
      <c r="D3">
        <v>0.3</v>
      </c>
      <c r="E3">
        <v>0</v>
      </c>
      <c r="F3">
        <v>0</v>
      </c>
    </row>
    <row r="4" spans="1:6" x14ac:dyDescent="0.25">
      <c r="A4" s="1" t="s">
        <v>225</v>
      </c>
      <c r="B4" t="s">
        <v>226</v>
      </c>
      <c r="C4">
        <v>0</v>
      </c>
      <c r="D4">
        <v>0.12</v>
      </c>
      <c r="E4">
        <v>0</v>
      </c>
      <c r="F4">
        <v>0</v>
      </c>
    </row>
    <row r="5" spans="1:6" x14ac:dyDescent="0.25">
      <c r="A5" s="1" t="s">
        <v>227</v>
      </c>
      <c r="B5" t="s">
        <v>228</v>
      </c>
      <c r="C5">
        <v>0</v>
      </c>
      <c r="D5">
        <v>0.06</v>
      </c>
      <c r="E5">
        <v>14</v>
      </c>
      <c r="F5">
        <v>0.25</v>
      </c>
    </row>
    <row r="6" spans="1:6" x14ac:dyDescent="0.25">
      <c r="A6" s="1" t="s">
        <v>229</v>
      </c>
      <c r="B6" t="s">
        <v>230</v>
      </c>
      <c r="C6">
        <v>0</v>
      </c>
      <c r="D6">
        <v>20</v>
      </c>
      <c r="E6">
        <v>1</v>
      </c>
      <c r="F6">
        <v>0.5</v>
      </c>
    </row>
    <row r="7" spans="1:6" x14ac:dyDescent="0.25">
      <c r="A7" s="1" t="s">
        <v>231</v>
      </c>
      <c r="B7" t="s">
        <v>232</v>
      </c>
      <c r="C7">
        <v>0</v>
      </c>
      <c r="D7">
        <v>0.92</v>
      </c>
      <c r="E7">
        <v>0</v>
      </c>
      <c r="F7">
        <v>0</v>
      </c>
    </row>
    <row r="8" spans="1:6" x14ac:dyDescent="0.25">
      <c r="A8" s="1" t="s">
        <v>233</v>
      </c>
      <c r="B8" t="s">
        <v>234</v>
      </c>
      <c r="C8">
        <v>0</v>
      </c>
      <c r="D8">
        <v>0.92</v>
      </c>
      <c r="E8">
        <v>0</v>
      </c>
      <c r="F8">
        <v>0.1</v>
      </c>
    </row>
    <row r="9" spans="1:6" x14ac:dyDescent="0.25">
      <c r="A9" s="1" t="s">
        <v>235</v>
      </c>
      <c r="B9" t="s">
        <v>236</v>
      </c>
      <c r="C9">
        <v>0</v>
      </c>
      <c r="D9">
        <v>0.08</v>
      </c>
      <c r="E9">
        <v>0</v>
      </c>
      <c r="F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26" customWidth="1"/>
    <col min="3" max="10" width="13" customWidth="1"/>
  </cols>
  <sheetData>
    <row r="1" spans="1:10" x14ac:dyDescent="0.25">
      <c r="A1" s="2" t="s">
        <v>6</v>
      </c>
      <c r="B1" s="3" t="s">
        <v>7</v>
      </c>
      <c r="C1" s="3" t="s">
        <v>237</v>
      </c>
      <c r="D1" s="3" t="s">
        <v>9</v>
      </c>
      <c r="E1" s="3" t="s">
        <v>10</v>
      </c>
      <c r="F1" s="3" t="s">
        <v>238</v>
      </c>
      <c r="G1" s="3" t="s">
        <v>239</v>
      </c>
      <c r="H1" s="3" t="s">
        <v>240</v>
      </c>
      <c r="I1" s="3" t="s">
        <v>241</v>
      </c>
      <c r="J1" s="3" t="s">
        <v>242</v>
      </c>
    </row>
    <row r="2" ht="78" customHeight="1" spans="1:10" x14ac:dyDescent="0.25">
      <c r="A2" s="4" t="s">
        <v>218</v>
      </c>
      <c r="B2" s="5" t="s">
        <v>123</v>
      </c>
      <c r="C2" s="5" t="s">
        <v>243</v>
      </c>
      <c r="D2" s="5" t="s">
        <v>244</v>
      </c>
      <c r="E2" s="5" t="s">
        <v>21</v>
      </c>
      <c r="F2" s="5" t="s">
        <v>245</v>
      </c>
      <c r="G2" s="5" t="s">
        <v>246</v>
      </c>
      <c r="H2" s="5" t="s">
        <v>247</v>
      </c>
      <c r="I2" s="5" t="s">
        <v>248</v>
      </c>
      <c r="J2" s="5" t="s">
        <v>249</v>
      </c>
    </row>
    <row r="3" spans="1:10" x14ac:dyDescent="0.25">
      <c r="A3" s="1" t="s">
        <v>250</v>
      </c>
      <c r="B3" t="s">
        <v>251</v>
      </c>
      <c r="C3">
        <v>0</v>
      </c>
      <c r="D3">
        <v>150</v>
      </c>
      <c r="E3">
        <v>15</v>
      </c>
      <c r="F3">
        <v>32</v>
      </c>
      <c r="G3">
        <v>3.2</v>
      </c>
      <c r="H3">
        <v>10</v>
      </c>
      <c r="I3">
        <v>3</v>
      </c>
      <c r="J3">
        <v>1</v>
      </c>
    </row>
    <row r="4" spans="1:10" x14ac:dyDescent="0.25">
      <c r="A4" s="1" t="s">
        <v>252</v>
      </c>
      <c r="B4" t="s">
        <v>253</v>
      </c>
      <c r="C4">
        <v>400</v>
      </c>
      <c r="D4">
        <v>220</v>
      </c>
      <c r="E4">
        <v>12.5</v>
      </c>
      <c r="F4">
        <v>26</v>
      </c>
      <c r="G4">
        <v>2.7</v>
      </c>
      <c r="H4">
        <v>12</v>
      </c>
      <c r="I4">
        <v>4.5</v>
      </c>
      <c r="J4">
        <v>1.8</v>
      </c>
    </row>
    <row r="5" spans="1:10" x14ac:dyDescent="0.25">
      <c r="A5" s="1" t="s">
        <v>254</v>
      </c>
      <c r="B5" t="s">
        <v>255</v>
      </c>
      <c r="C5">
        <v>550</v>
      </c>
      <c r="D5">
        <v>110</v>
      </c>
      <c r="E5">
        <v>19</v>
      </c>
      <c r="F5">
        <v>40</v>
      </c>
      <c r="G5">
        <v>3.6</v>
      </c>
      <c r="H5">
        <v>14</v>
      </c>
      <c r="I5">
        <v>2.4</v>
      </c>
      <c r="J5">
        <v>0.8</v>
      </c>
    </row>
    <row r="6" spans="1:10" x14ac:dyDescent="0.25">
      <c r="A6" s="1" t="s">
        <v>85</v>
      </c>
      <c r="B6" t="s">
        <v>256</v>
      </c>
      <c r="C6">
        <v>800</v>
      </c>
      <c r="D6">
        <v>300</v>
      </c>
      <c r="E6">
        <v>10</v>
      </c>
      <c r="F6">
        <v>18</v>
      </c>
      <c r="G6">
        <v>2.3</v>
      </c>
      <c r="H6">
        <v>18</v>
      </c>
      <c r="I6">
        <v>5.5</v>
      </c>
      <c r="J6">
        <v>2.6</v>
      </c>
    </row>
    <row r="7" spans="1:10" x14ac:dyDescent="0.25">
      <c r="A7" s="1" t="s">
        <v>257</v>
      </c>
      <c r="B7" t="s">
        <v>258</v>
      </c>
      <c r="C7">
        <v>650</v>
      </c>
      <c r="D7">
        <v>85</v>
      </c>
      <c r="E7">
        <v>21</v>
      </c>
      <c r="F7">
        <v>48</v>
      </c>
      <c r="G7">
        <v>4.2</v>
      </c>
      <c r="H7">
        <v>6</v>
      </c>
      <c r="I7">
        <v>1.8</v>
      </c>
      <c r="J7">
        <v>0.55</v>
      </c>
    </row>
    <row r="8" spans="1:10" x14ac:dyDescent="0.25">
      <c r="A8" s="1" t="s">
        <v>259</v>
      </c>
      <c r="B8" t="s">
        <v>260</v>
      </c>
      <c r="C8">
        <v>700</v>
      </c>
      <c r="D8">
        <v>120</v>
      </c>
      <c r="E8">
        <v>20</v>
      </c>
      <c r="F8">
        <v>38</v>
      </c>
      <c r="G8">
        <v>3.8</v>
      </c>
      <c r="H8">
        <v>8</v>
      </c>
      <c r="I8">
        <v>4</v>
      </c>
      <c r="J8">
        <v>1.2</v>
      </c>
    </row>
    <row r="9" spans="1:10" x14ac:dyDescent="0.25">
      <c r="A9" s="1" t="s">
        <v>175</v>
      </c>
      <c r="B9" t="s">
        <v>261</v>
      </c>
      <c r="C9">
        <v>650</v>
      </c>
      <c r="D9">
        <v>180</v>
      </c>
      <c r="E9">
        <v>13</v>
      </c>
      <c r="F9">
        <v>24</v>
      </c>
      <c r="G9">
        <v>2.8</v>
      </c>
      <c r="H9">
        <v>11</v>
      </c>
      <c r="I9">
        <v>3</v>
      </c>
      <c r="J9">
        <v>1.4</v>
      </c>
    </row>
    <row r="10" spans="1:10" x14ac:dyDescent="0.25">
      <c r="A10" s="1" t="s">
        <v>262</v>
      </c>
      <c r="B10" t="s">
        <v>263</v>
      </c>
      <c r="C10">
        <v>900</v>
      </c>
      <c r="D10">
        <v>280</v>
      </c>
      <c r="E10">
        <v>11</v>
      </c>
      <c r="F10">
        <v>20</v>
      </c>
      <c r="G10">
        <v>2.4</v>
      </c>
      <c r="H10">
        <v>14</v>
      </c>
      <c r="I10">
        <v>4</v>
      </c>
      <c r="J10">
        <v>2.2</v>
      </c>
    </row>
    <row r="11" spans="1:10" x14ac:dyDescent="0.25">
      <c r="A11" s="1" t="s">
        <v>264</v>
      </c>
      <c r="B11" t="s">
        <v>265</v>
      </c>
      <c r="C11">
        <v>1200</v>
      </c>
      <c r="D11">
        <v>140</v>
      </c>
      <c r="E11">
        <v>17</v>
      </c>
      <c r="F11">
        <v>22</v>
      </c>
      <c r="G11">
        <v>2.2</v>
      </c>
      <c r="H11">
        <v>3</v>
      </c>
      <c r="I11">
        <v>2.5</v>
      </c>
      <c r="J11">
        <v>0.9</v>
      </c>
    </row>
    <row r="12" spans="1:10" x14ac:dyDescent="0.25">
      <c r="A12" s="1" t="s">
        <v>266</v>
      </c>
      <c r="B12" t="s">
        <v>267</v>
      </c>
      <c r="C12">
        <v>1500</v>
      </c>
      <c r="D12">
        <v>260</v>
      </c>
      <c r="E12">
        <v>9</v>
      </c>
      <c r="F12">
        <v>16</v>
      </c>
      <c r="G12">
        <v>2</v>
      </c>
      <c r="H12">
        <v>20</v>
      </c>
      <c r="I12">
        <v>6</v>
      </c>
      <c r="J12">
        <v>3</v>
      </c>
    </row>
    <row r="13" spans="1:10" x14ac:dyDescent="0.25">
      <c r="A13" s="1" t="s">
        <v>268</v>
      </c>
      <c r="B13" t="s">
        <v>269</v>
      </c>
      <c r="C13">
        <v>900</v>
      </c>
      <c r="D13">
        <v>95</v>
      </c>
      <c r="E13">
        <v>18</v>
      </c>
      <c r="F13">
        <v>34</v>
      </c>
      <c r="G13">
        <v>5</v>
      </c>
      <c r="H13">
        <v>16</v>
      </c>
      <c r="I13">
        <v>2</v>
      </c>
      <c r="J13">
        <v>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26" customWidth="1"/>
    <col min="3" max="16" width="13" customWidth="1"/>
  </cols>
  <sheetData>
    <row r="1" spans="1:16" x14ac:dyDescent="0.25">
      <c r="A1" s="2" t="s">
        <v>6</v>
      </c>
      <c r="B1" s="3" t="s">
        <v>7</v>
      </c>
      <c r="C1" s="3" t="s">
        <v>237</v>
      </c>
      <c r="D1" s="3" t="s">
        <v>270</v>
      </c>
      <c r="E1" s="3" t="s">
        <v>271</v>
      </c>
      <c r="F1" s="3" t="s">
        <v>272</v>
      </c>
      <c r="G1" s="3" t="s">
        <v>273</v>
      </c>
      <c r="H1" s="3" t="s">
        <v>274</v>
      </c>
      <c r="I1" s="3" t="s">
        <v>275</v>
      </c>
      <c r="J1" s="3" t="s">
        <v>276</v>
      </c>
      <c r="K1" s="3" t="s">
        <v>277</v>
      </c>
      <c r="L1" s="3" t="s">
        <v>278</v>
      </c>
      <c r="M1" s="3" t="s">
        <v>279</v>
      </c>
      <c r="N1" s="3" t="s">
        <v>280</v>
      </c>
      <c r="O1" s="3" t="s">
        <v>281</v>
      </c>
      <c r="P1" s="3" t="s">
        <v>282</v>
      </c>
    </row>
    <row r="2" ht="78" customHeight="1" spans="1:16" x14ac:dyDescent="0.25">
      <c r="A2" s="4" t="s">
        <v>218</v>
      </c>
      <c r="B2" s="5" t="s">
        <v>123</v>
      </c>
      <c r="C2" s="5" t="s">
        <v>283</v>
      </c>
      <c r="D2" s="5" t="s">
        <v>284</v>
      </c>
      <c r="E2" s="5" t="s">
        <v>285</v>
      </c>
      <c r="F2" s="5" t="s">
        <v>286</v>
      </c>
      <c r="G2" s="5" t="s">
        <v>287</v>
      </c>
      <c r="H2" s="5" t="s">
        <v>288</v>
      </c>
      <c r="I2" s="5" t="s">
        <v>289</v>
      </c>
      <c r="J2" s="5" t="s">
        <v>290</v>
      </c>
      <c r="K2" s="5" t="s">
        <v>291</v>
      </c>
      <c r="L2" s="5" t="s">
        <v>292</v>
      </c>
      <c r="M2" s="5" t="s">
        <v>293</v>
      </c>
      <c r="N2" s="5" t="s">
        <v>294</v>
      </c>
      <c r="O2" s="5" t="s">
        <v>295</v>
      </c>
      <c r="P2" s="5" t="s">
        <v>295</v>
      </c>
    </row>
    <row r="3" spans="1:16" x14ac:dyDescent="0.25">
      <c r="A3" s="1" t="s">
        <v>296</v>
      </c>
      <c r="B3" t="s">
        <v>297</v>
      </c>
      <c r="C3">
        <v>0</v>
      </c>
      <c r="D3">
        <v>1.1</v>
      </c>
      <c r="E3">
        <v>10</v>
      </c>
      <c r="F3">
        <v>0.9</v>
      </c>
      <c r="G3">
        <v>0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 t="s">
        <v>147</v>
      </c>
      <c r="O3" t="s">
        <v>298</v>
      </c>
      <c r="P3" t="s">
        <v>299</v>
      </c>
    </row>
    <row r="4" spans="1:16" x14ac:dyDescent="0.25">
      <c r="A4" s="1" t="s">
        <v>300</v>
      </c>
      <c r="B4" t="s">
        <v>301</v>
      </c>
      <c r="C4">
        <v>450</v>
      </c>
      <c r="D4">
        <v>1</v>
      </c>
      <c r="E4">
        <v>-20</v>
      </c>
      <c r="F4">
        <v>1.25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 t="s">
        <v>147</v>
      </c>
      <c r="O4" t="s">
        <v>302</v>
      </c>
      <c r="P4" t="s">
        <v>303</v>
      </c>
    </row>
    <row r="5" spans="1:16" x14ac:dyDescent="0.25">
      <c r="A5" s="1" t="s">
        <v>35</v>
      </c>
      <c r="B5" t="s">
        <v>304</v>
      </c>
      <c r="C5">
        <v>650</v>
      </c>
      <c r="D5">
        <v>1</v>
      </c>
      <c r="E5">
        <v>0</v>
      </c>
      <c r="F5">
        <v>1</v>
      </c>
      <c r="G5">
        <v>0</v>
      </c>
      <c r="H5">
        <v>0.88</v>
      </c>
      <c r="I5">
        <v>0</v>
      </c>
      <c r="J5">
        <v>0.92</v>
      </c>
      <c r="K5">
        <v>1</v>
      </c>
      <c r="L5">
        <v>1</v>
      </c>
      <c r="M5">
        <v>1</v>
      </c>
      <c r="N5" t="s">
        <v>159</v>
      </c>
      <c r="O5" t="s">
        <v>305</v>
      </c>
      <c r="P5" t="s">
        <v>306</v>
      </c>
    </row>
    <row r="6" spans="1:16" x14ac:dyDescent="0.25">
      <c r="A6" s="1" t="s">
        <v>307</v>
      </c>
      <c r="B6" t="s">
        <v>308</v>
      </c>
      <c r="C6">
        <v>0</v>
      </c>
      <c r="D6">
        <v>1</v>
      </c>
      <c r="E6">
        <v>40</v>
      </c>
      <c r="F6">
        <v>1</v>
      </c>
      <c r="G6">
        <v>0</v>
      </c>
      <c r="H6">
        <v>1</v>
      </c>
      <c r="I6">
        <v>0</v>
      </c>
      <c r="J6">
        <v>1</v>
      </c>
      <c r="K6">
        <v>1.25</v>
      </c>
      <c r="L6">
        <v>1.1</v>
      </c>
      <c r="M6">
        <v>1</v>
      </c>
      <c r="N6" t="s">
        <v>147</v>
      </c>
      <c r="O6" t="s">
        <v>309</v>
      </c>
      <c r="P6" t="s">
        <v>310</v>
      </c>
    </row>
    <row r="7" spans="1:16" x14ac:dyDescent="0.25">
      <c r="A7" s="1" t="s">
        <v>311</v>
      </c>
      <c r="B7" t="s">
        <v>312</v>
      </c>
      <c r="C7">
        <v>0</v>
      </c>
      <c r="D7">
        <v>1</v>
      </c>
      <c r="E7">
        <v>0</v>
      </c>
      <c r="F7">
        <v>1</v>
      </c>
      <c r="G7">
        <v>0</v>
      </c>
      <c r="H7">
        <v>1</v>
      </c>
      <c r="I7">
        <v>-0.1</v>
      </c>
      <c r="J7">
        <v>1.06</v>
      </c>
      <c r="K7">
        <v>1</v>
      </c>
      <c r="L7">
        <v>1</v>
      </c>
      <c r="M7">
        <v>1.15</v>
      </c>
      <c r="N7" t="s">
        <v>156</v>
      </c>
      <c r="O7" t="s">
        <v>227</v>
      </c>
      <c r="P7" t="s">
        <v>313</v>
      </c>
    </row>
    <row r="8" spans="1:16" x14ac:dyDescent="0.25">
      <c r="A8" s="1" t="s">
        <v>314</v>
      </c>
      <c r="B8" t="s">
        <v>315</v>
      </c>
      <c r="C8">
        <v>800</v>
      </c>
      <c r="D8">
        <v>1</v>
      </c>
      <c r="E8">
        <v>-15</v>
      </c>
      <c r="F8">
        <v>1</v>
      </c>
      <c r="G8">
        <v>0</v>
      </c>
      <c r="H8">
        <v>1</v>
      </c>
      <c r="I8">
        <v>0.12</v>
      </c>
      <c r="J8">
        <v>0.95</v>
      </c>
      <c r="K8">
        <v>1</v>
      </c>
      <c r="L8">
        <v>1</v>
      </c>
      <c r="M8">
        <v>1</v>
      </c>
      <c r="N8" t="s">
        <v>168</v>
      </c>
      <c r="O8" t="s">
        <v>302</v>
      </c>
      <c r="P8" t="s">
        <v>316</v>
      </c>
    </row>
    <row r="9" spans="1:16" x14ac:dyDescent="0.25">
      <c r="A9" s="1" t="s">
        <v>317</v>
      </c>
      <c r="B9" t="s">
        <v>318</v>
      </c>
      <c r="C9">
        <v>1000</v>
      </c>
      <c r="D9">
        <v>1</v>
      </c>
      <c r="E9">
        <v>-10</v>
      </c>
      <c r="F9">
        <v>1.3</v>
      </c>
      <c r="G9">
        <v>0</v>
      </c>
      <c r="H9">
        <v>1</v>
      </c>
      <c r="I9">
        <v>0</v>
      </c>
      <c r="J9">
        <v>1.08</v>
      </c>
      <c r="K9">
        <v>1</v>
      </c>
      <c r="L9">
        <v>1</v>
      </c>
      <c r="M9">
        <v>1</v>
      </c>
      <c r="N9" t="s">
        <v>192</v>
      </c>
      <c r="O9" t="s">
        <v>305</v>
      </c>
      <c r="P9" t="s">
        <v>319</v>
      </c>
    </row>
    <row r="10" spans="1:16" x14ac:dyDescent="0.25">
      <c r="A10" s="1" t="s">
        <v>320</v>
      </c>
      <c r="B10" t="s">
        <v>321</v>
      </c>
      <c r="C10">
        <v>0</v>
      </c>
      <c r="D10">
        <v>1.2</v>
      </c>
      <c r="E10">
        <v>0</v>
      </c>
      <c r="F10">
        <v>1</v>
      </c>
      <c r="G10">
        <v>0</v>
      </c>
      <c r="H10">
        <v>1</v>
      </c>
      <c r="I10">
        <v>0</v>
      </c>
      <c r="J10">
        <v>1</v>
      </c>
      <c r="K10">
        <v>1</v>
      </c>
      <c r="L10">
        <v>1.1</v>
      </c>
      <c r="M10">
        <v>1</v>
      </c>
      <c r="N10" t="s">
        <v>180</v>
      </c>
      <c r="O10" t="s">
        <v>298</v>
      </c>
      <c r="P10" t="s">
        <v>322</v>
      </c>
    </row>
    <row r="11" spans="1:16" x14ac:dyDescent="0.25">
      <c r="A11" s="1" t="s">
        <v>323</v>
      </c>
      <c r="B11" t="s">
        <v>324</v>
      </c>
      <c r="C11">
        <v>1200</v>
      </c>
      <c r="D11">
        <v>0.9</v>
      </c>
      <c r="E11">
        <v>25</v>
      </c>
      <c r="F11">
        <v>1</v>
      </c>
      <c r="G11">
        <v>0</v>
      </c>
      <c r="H11">
        <v>1</v>
      </c>
      <c r="I11">
        <v>0</v>
      </c>
      <c r="J11">
        <v>0.95</v>
      </c>
      <c r="K11">
        <v>1.15</v>
      </c>
      <c r="L11">
        <v>1</v>
      </c>
      <c r="M11">
        <v>1.1</v>
      </c>
      <c r="N11" t="s">
        <v>175</v>
      </c>
      <c r="O11" t="s">
        <v>227</v>
      </c>
      <c r="P11" t="s">
        <v>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13" customWidth="1"/>
    <col min="3" max="3" width="26" customWidth="1"/>
    <col min="4" max="14" width="13" customWidth="1"/>
  </cols>
  <sheetData>
    <row r="1" spans="1:14" x14ac:dyDescent="0.25">
      <c r="A1" s="2" t="s">
        <v>6</v>
      </c>
      <c r="B1" s="3" t="s">
        <v>8</v>
      </c>
      <c r="C1" s="3" t="s">
        <v>7</v>
      </c>
      <c r="D1" s="3" t="s">
        <v>326</v>
      </c>
      <c r="E1" s="3" t="s">
        <v>327</v>
      </c>
      <c r="F1" s="3" t="s">
        <v>328</v>
      </c>
      <c r="G1" s="3" t="s">
        <v>329</v>
      </c>
      <c r="H1" s="3" t="s">
        <v>330</v>
      </c>
      <c r="I1" s="3" t="s">
        <v>331</v>
      </c>
      <c r="J1" s="3" t="s">
        <v>332</v>
      </c>
      <c r="K1" s="3" t="s">
        <v>333</v>
      </c>
      <c r="L1" s="3" t="s">
        <v>334</v>
      </c>
      <c r="M1" s="3" t="s">
        <v>335</v>
      </c>
      <c r="N1" s="3" t="s">
        <v>336</v>
      </c>
    </row>
    <row r="2" ht="78" customHeight="1" spans="1:14" x14ac:dyDescent="0.25">
      <c r="A2" s="4" t="s">
        <v>218</v>
      </c>
      <c r="B2" s="5" t="s">
        <v>337</v>
      </c>
      <c r="C2" s="5" t="s">
        <v>123</v>
      </c>
      <c r="D2" s="5" t="s">
        <v>338</v>
      </c>
      <c r="E2" s="5" t="s">
        <v>339</v>
      </c>
      <c r="F2" s="5" t="s">
        <v>340</v>
      </c>
      <c r="G2" s="5" t="s">
        <v>341</v>
      </c>
      <c r="H2" s="5" t="s">
        <v>342</v>
      </c>
      <c r="I2" s="5" t="s">
        <v>343</v>
      </c>
      <c r="J2" s="5" t="s">
        <v>344</v>
      </c>
      <c r="K2" s="5" t="s">
        <v>345</v>
      </c>
      <c r="L2" s="5" t="s">
        <v>346</v>
      </c>
      <c r="M2" s="5" t="s">
        <v>347</v>
      </c>
      <c r="N2" s="5" t="s">
        <v>348</v>
      </c>
    </row>
    <row r="3" spans="1:14" x14ac:dyDescent="0.25">
      <c r="A3" s="1" t="s">
        <v>349</v>
      </c>
      <c r="B3" t="s">
        <v>350</v>
      </c>
      <c r="C3" t="s">
        <v>351</v>
      </c>
      <c r="D3">
        <v>10</v>
      </c>
      <c r="E3">
        <v>20</v>
      </c>
      <c r="F3">
        <v>40</v>
      </c>
      <c r="G3">
        <v>60</v>
      </c>
      <c r="H3">
        <v>80</v>
      </c>
      <c r="I3">
        <v>100</v>
      </c>
      <c r="J3">
        <v>180</v>
      </c>
      <c r="K3">
        <v>275</v>
      </c>
      <c r="L3">
        <v>385</v>
      </c>
      <c r="M3">
        <v>515</v>
      </c>
      <c r="N3">
        <v>660</v>
      </c>
    </row>
    <row r="4" spans="1:14" x14ac:dyDescent="0.25">
      <c r="A4" s="1" t="s">
        <v>352</v>
      </c>
      <c r="B4" t="s">
        <v>350</v>
      </c>
      <c r="C4" t="s">
        <v>353</v>
      </c>
      <c r="D4">
        <v>0.1</v>
      </c>
      <c r="E4">
        <v>20</v>
      </c>
      <c r="F4">
        <v>40</v>
      </c>
      <c r="G4">
        <v>60</v>
      </c>
      <c r="H4">
        <v>80</v>
      </c>
      <c r="I4">
        <v>100</v>
      </c>
      <c r="J4">
        <v>180</v>
      </c>
      <c r="K4">
        <v>275</v>
      </c>
      <c r="L4">
        <v>385</v>
      </c>
      <c r="M4">
        <v>515</v>
      </c>
      <c r="N4">
        <v>660</v>
      </c>
    </row>
    <row r="5" spans="1:14" x14ac:dyDescent="0.25">
      <c r="A5" s="1" t="s">
        <v>354</v>
      </c>
      <c r="B5" t="s">
        <v>350</v>
      </c>
      <c r="C5" t="s">
        <v>355</v>
      </c>
      <c r="D5">
        <v>0.04</v>
      </c>
      <c r="E5">
        <v>20</v>
      </c>
      <c r="F5">
        <v>40</v>
      </c>
      <c r="G5">
        <v>60</v>
      </c>
      <c r="H5">
        <v>80</v>
      </c>
      <c r="I5">
        <v>100</v>
      </c>
      <c r="J5">
        <v>180</v>
      </c>
      <c r="K5">
        <v>275</v>
      </c>
      <c r="L5">
        <v>385</v>
      </c>
      <c r="M5">
        <v>515</v>
      </c>
      <c r="N5">
        <v>660</v>
      </c>
    </row>
    <row r="6" spans="1:14" x14ac:dyDescent="0.25">
      <c r="A6" s="1" t="s">
        <v>356</v>
      </c>
      <c r="B6" t="s">
        <v>350</v>
      </c>
      <c r="C6" t="s">
        <v>357</v>
      </c>
      <c r="D6">
        <v>0.1</v>
      </c>
      <c r="E6">
        <v>20</v>
      </c>
      <c r="F6">
        <v>40</v>
      </c>
      <c r="G6">
        <v>60</v>
      </c>
      <c r="H6">
        <v>80</v>
      </c>
      <c r="I6">
        <v>100</v>
      </c>
      <c r="J6">
        <v>180</v>
      </c>
      <c r="K6">
        <v>275</v>
      </c>
      <c r="L6">
        <v>385</v>
      </c>
      <c r="M6">
        <v>515</v>
      </c>
      <c r="N6">
        <v>660</v>
      </c>
    </row>
    <row r="7" spans="1:14" x14ac:dyDescent="0.25">
      <c r="A7" s="1" t="s">
        <v>358</v>
      </c>
      <c r="B7" t="s">
        <v>350</v>
      </c>
      <c r="C7" t="s">
        <v>359</v>
      </c>
      <c r="D7">
        <v>0.02</v>
      </c>
      <c r="E7">
        <v>20</v>
      </c>
      <c r="F7">
        <v>40</v>
      </c>
      <c r="G7">
        <v>60</v>
      </c>
      <c r="H7">
        <v>80</v>
      </c>
      <c r="I7">
        <v>100</v>
      </c>
      <c r="J7">
        <v>180</v>
      </c>
      <c r="K7">
        <v>275</v>
      </c>
      <c r="L7">
        <v>385</v>
      </c>
      <c r="M7">
        <v>515</v>
      </c>
      <c r="N7">
        <v>660</v>
      </c>
    </row>
    <row r="8" spans="1:14" x14ac:dyDescent="0.25">
      <c r="A8" s="1" t="s">
        <v>360</v>
      </c>
      <c r="B8" t="s">
        <v>350</v>
      </c>
      <c r="C8" t="s">
        <v>361</v>
      </c>
      <c r="D8">
        <v>0.1</v>
      </c>
      <c r="E8">
        <v>20</v>
      </c>
      <c r="F8">
        <v>40</v>
      </c>
      <c r="G8">
        <v>60</v>
      </c>
      <c r="H8">
        <v>80</v>
      </c>
      <c r="I8">
        <v>100</v>
      </c>
      <c r="J8">
        <v>180</v>
      </c>
      <c r="K8">
        <v>275</v>
      </c>
      <c r="L8">
        <v>385</v>
      </c>
      <c r="M8">
        <v>515</v>
      </c>
      <c r="N8">
        <v>660</v>
      </c>
    </row>
    <row r="9" spans="1:14" x14ac:dyDescent="0.25">
      <c r="A9" s="1" t="s">
        <v>362</v>
      </c>
      <c r="B9" t="s">
        <v>350</v>
      </c>
      <c r="C9" t="s">
        <v>363</v>
      </c>
      <c r="D9">
        <v>0.06</v>
      </c>
      <c r="E9">
        <v>20</v>
      </c>
      <c r="F9">
        <v>40</v>
      </c>
      <c r="G9">
        <v>60</v>
      </c>
      <c r="H9">
        <v>80</v>
      </c>
      <c r="I9">
        <v>100</v>
      </c>
      <c r="J9">
        <v>180</v>
      </c>
      <c r="K9">
        <v>275</v>
      </c>
      <c r="L9">
        <v>385</v>
      </c>
      <c r="M9">
        <v>515</v>
      </c>
      <c r="N9">
        <v>660</v>
      </c>
    </row>
    <row r="10" spans="1:14" x14ac:dyDescent="0.25">
      <c r="A10" s="1" t="s">
        <v>364</v>
      </c>
      <c r="B10" t="s">
        <v>350</v>
      </c>
      <c r="C10" t="s">
        <v>365</v>
      </c>
      <c r="D10">
        <v>0.08</v>
      </c>
      <c r="E10">
        <v>20</v>
      </c>
      <c r="F10">
        <v>40</v>
      </c>
      <c r="G10">
        <v>60</v>
      </c>
      <c r="H10">
        <v>80</v>
      </c>
      <c r="I10">
        <v>100</v>
      </c>
      <c r="J10">
        <v>180</v>
      </c>
      <c r="K10">
        <v>275</v>
      </c>
      <c r="L10">
        <v>385</v>
      </c>
      <c r="M10">
        <v>515</v>
      </c>
      <c r="N10">
        <v>660</v>
      </c>
    </row>
    <row r="11" spans="1:14" x14ac:dyDescent="0.25">
      <c r="A11" s="1" t="s">
        <v>366</v>
      </c>
      <c r="B11" t="s">
        <v>350</v>
      </c>
      <c r="C11" t="s">
        <v>367</v>
      </c>
      <c r="D11">
        <v>0.02</v>
      </c>
      <c r="E11">
        <v>25</v>
      </c>
      <c r="F11">
        <v>50</v>
      </c>
      <c r="G11">
        <v>75</v>
      </c>
      <c r="H11">
        <v>100</v>
      </c>
      <c r="I11">
        <v>125</v>
      </c>
      <c r="J11">
        <v>225</v>
      </c>
      <c r="K11">
        <v>345</v>
      </c>
      <c r="L11">
        <v>480</v>
      </c>
      <c r="M11">
        <v>645</v>
      </c>
      <c r="N11">
        <v>825</v>
      </c>
    </row>
    <row r="12" spans="1:14" x14ac:dyDescent="0.25">
      <c r="A12" s="1" t="s">
        <v>13</v>
      </c>
      <c r="B12" t="s">
        <v>350</v>
      </c>
      <c r="C12" t="s">
        <v>368</v>
      </c>
      <c r="D12">
        <v>0.05</v>
      </c>
      <c r="E12">
        <v>80</v>
      </c>
      <c r="F12">
        <v>180</v>
      </c>
      <c r="G12">
        <v>320</v>
      </c>
      <c r="H12">
        <v>500</v>
      </c>
    </row>
    <row r="13" spans="1:14" x14ac:dyDescent="0.25">
      <c r="A13" s="1" t="s">
        <v>369</v>
      </c>
      <c r="B13" t="s">
        <v>350</v>
      </c>
      <c r="C13" t="s">
        <v>370</v>
      </c>
      <c r="D13">
        <v>0</v>
      </c>
      <c r="E13">
        <v>100</v>
      </c>
      <c r="F13">
        <v>250</v>
      </c>
      <c r="G13">
        <v>450</v>
      </c>
    </row>
    <row r="14" spans="1:14" x14ac:dyDescent="0.25">
      <c r="A14" s="1" t="s">
        <v>371</v>
      </c>
      <c r="B14" t="s">
        <v>350</v>
      </c>
      <c r="C14" t="s">
        <v>372</v>
      </c>
      <c r="D14">
        <v>0</v>
      </c>
      <c r="E14">
        <v>500</v>
      </c>
    </row>
    <row r="15" spans="1:14" x14ac:dyDescent="0.25">
      <c r="A15" s="1" t="s">
        <v>373</v>
      </c>
      <c r="B15" t="s">
        <v>350</v>
      </c>
      <c r="C15" t="s">
        <v>374</v>
      </c>
      <c r="D15">
        <v>0</v>
      </c>
      <c r="E15">
        <v>600</v>
      </c>
      <c r="F15">
        <v>1800</v>
      </c>
    </row>
    <row r="16" spans="1:14" x14ac:dyDescent="0.25">
      <c r="A16" s="1" t="s">
        <v>375</v>
      </c>
      <c r="B16" t="s">
        <v>350</v>
      </c>
      <c r="C16" t="s">
        <v>376</v>
      </c>
      <c r="D16">
        <v>0</v>
      </c>
      <c r="E16">
        <v>2200</v>
      </c>
    </row>
    <row r="17" spans="1:14" x14ac:dyDescent="0.25">
      <c r="A17" s="1" t="s">
        <v>377</v>
      </c>
      <c r="B17" t="s">
        <v>378</v>
      </c>
      <c r="C17" t="s">
        <v>379</v>
      </c>
      <c r="D17">
        <v>0</v>
      </c>
      <c r="E17">
        <v>700</v>
      </c>
    </row>
    <row r="18" spans="1:14" x14ac:dyDescent="0.25">
      <c r="A18" s="1" t="s">
        <v>380</v>
      </c>
      <c r="B18" t="s">
        <v>378</v>
      </c>
      <c r="C18" t="s">
        <v>381</v>
      </c>
      <c r="D18">
        <v>0</v>
      </c>
      <c r="E18">
        <v>1000</v>
      </c>
    </row>
    <row r="19" spans="1:14" x14ac:dyDescent="0.25">
      <c r="A19" s="1" t="s">
        <v>382</v>
      </c>
      <c r="B19" t="s">
        <v>378</v>
      </c>
      <c r="C19" t="s">
        <v>383</v>
      </c>
      <c r="D19">
        <v>0</v>
      </c>
      <c r="E19">
        <v>1800</v>
      </c>
    </row>
    <row r="20" spans="1:14" x14ac:dyDescent="0.25">
      <c r="A20" s="1" t="s">
        <v>384</v>
      </c>
      <c r="B20" t="s">
        <v>378</v>
      </c>
      <c r="C20" t="s">
        <v>385</v>
      </c>
      <c r="D20">
        <v>0</v>
      </c>
      <c r="E20">
        <v>1500</v>
      </c>
    </row>
    <row r="21" spans="1:14" x14ac:dyDescent="0.25">
      <c r="A21" s="1" t="s">
        <v>386</v>
      </c>
      <c r="B21" t="s">
        <v>387</v>
      </c>
      <c r="C21" t="s">
        <v>388</v>
      </c>
      <c r="D21">
        <v>0</v>
      </c>
      <c r="E21">
        <v>60</v>
      </c>
    </row>
    <row r="22" spans="1:14" x14ac:dyDescent="0.25">
      <c r="A22" s="1" t="s">
        <v>389</v>
      </c>
      <c r="B22" t="s">
        <v>387</v>
      </c>
      <c r="C22" t="s">
        <v>390</v>
      </c>
      <c r="D22">
        <v>0</v>
      </c>
      <c r="E22">
        <v>110</v>
      </c>
    </row>
    <row r="23" spans="1:14" x14ac:dyDescent="0.25">
      <c r="A23" s="1" t="s">
        <v>391</v>
      </c>
      <c r="B23" t="s">
        <v>387</v>
      </c>
      <c r="C23" t="s">
        <v>392</v>
      </c>
      <c r="D23">
        <v>0</v>
      </c>
      <c r="E23">
        <v>40</v>
      </c>
    </row>
    <row r="24" spans="1:14" x14ac:dyDescent="0.25">
      <c r="A24" s="1" t="s">
        <v>393</v>
      </c>
      <c r="B24" t="s">
        <v>387</v>
      </c>
      <c r="C24" t="s">
        <v>394</v>
      </c>
      <c r="D24">
        <v>0</v>
      </c>
      <c r="E24">
        <v>60</v>
      </c>
    </row>
    <row r="25" spans="1:14" x14ac:dyDescent="0.25">
      <c r="A25" s="1" t="s">
        <v>395</v>
      </c>
      <c r="B25" t="s">
        <v>387</v>
      </c>
      <c r="C25" t="s">
        <v>396</v>
      </c>
      <c r="D25">
        <v>0</v>
      </c>
      <c r="E25">
        <v>90</v>
      </c>
    </row>
    <row r="26" spans="1:14" x14ac:dyDescent="0.25">
      <c r="A26" s="1" t="s">
        <v>397</v>
      </c>
      <c r="B26" t="s">
        <v>387</v>
      </c>
      <c r="C26" t="s">
        <v>398</v>
      </c>
      <c r="D26">
        <v>0</v>
      </c>
      <c r="E26">
        <v>50</v>
      </c>
    </row>
    <row r="27" spans="1:14" x14ac:dyDescent="0.25">
      <c r="A27" s="1" t="s">
        <v>399</v>
      </c>
      <c r="B27" t="s">
        <v>387</v>
      </c>
      <c r="C27" t="s">
        <v>400</v>
      </c>
      <c r="D27">
        <v>0</v>
      </c>
      <c r="E27">
        <v>80</v>
      </c>
    </row>
    <row r="28" spans="1:14" x14ac:dyDescent="0.25">
      <c r="A28" s="1" t="s">
        <v>401</v>
      </c>
      <c r="B28" t="s">
        <v>387</v>
      </c>
      <c r="C28" t="s">
        <v>402</v>
      </c>
      <c r="D28">
        <v>0</v>
      </c>
      <c r="E28">
        <v>120</v>
      </c>
    </row>
    <row r="29" spans="1:14" x14ac:dyDescent="0.25">
      <c r="A29" s="1" t="s">
        <v>403</v>
      </c>
      <c r="B29" t="s">
        <v>387</v>
      </c>
      <c r="C29" t="s">
        <v>404</v>
      </c>
      <c r="D29">
        <v>0</v>
      </c>
      <c r="E29">
        <v>60</v>
      </c>
    </row>
    <row r="30" spans="1:14" x14ac:dyDescent="0.25">
      <c r="A30" s="1" t="s">
        <v>405</v>
      </c>
      <c r="B30" t="s">
        <v>387</v>
      </c>
      <c r="C30" t="s">
        <v>406</v>
      </c>
      <c r="D30">
        <v>0</v>
      </c>
      <c r="E30">
        <v>100</v>
      </c>
    </row>
    <row r="31" spans="1:14" x14ac:dyDescent="0.25">
      <c r="A31" s="1" t="s">
        <v>407</v>
      </c>
      <c r="B31" t="s">
        <v>281</v>
      </c>
      <c r="C31" t="s">
        <v>408</v>
      </c>
      <c r="D31">
        <v>0</v>
      </c>
      <c r="E31">
        <v>60</v>
      </c>
      <c r="F31">
        <v>150</v>
      </c>
      <c r="G31">
        <v>300</v>
      </c>
      <c r="H31">
        <v>550</v>
      </c>
    </row>
    <row r="32" spans="1:14" x14ac:dyDescent="0.25">
      <c r="A32" s="1" t="s">
        <v>409</v>
      </c>
      <c r="B32" t="s">
        <v>281</v>
      </c>
      <c r="C32" t="s">
        <v>410</v>
      </c>
      <c r="D32">
        <v>0</v>
      </c>
      <c r="E32">
        <v>60</v>
      </c>
      <c r="F32">
        <v>150</v>
      </c>
      <c r="G32">
        <v>300</v>
      </c>
      <c r="H32">
        <v>550</v>
      </c>
    </row>
    <row r="33" spans="1:14" x14ac:dyDescent="0.25">
      <c r="A33" s="1" t="s">
        <v>411</v>
      </c>
      <c r="B33" t="s">
        <v>281</v>
      </c>
      <c r="C33" t="s">
        <v>412</v>
      </c>
      <c r="D33">
        <v>0</v>
      </c>
      <c r="E33">
        <v>60</v>
      </c>
      <c r="F33">
        <v>150</v>
      </c>
      <c r="G33">
        <v>300</v>
      </c>
      <c r="H33">
        <v>550</v>
      </c>
    </row>
    <row r="34" spans="1:14" x14ac:dyDescent="0.25">
      <c r="A34" s="1" t="s">
        <v>413</v>
      </c>
      <c r="B34" t="s">
        <v>281</v>
      </c>
      <c r="C34" t="s">
        <v>414</v>
      </c>
      <c r="D34">
        <v>0</v>
      </c>
      <c r="E34">
        <v>60</v>
      </c>
      <c r="F34">
        <v>150</v>
      </c>
      <c r="G34">
        <v>300</v>
      </c>
      <c r="H34">
        <v>550</v>
      </c>
    </row>
    <row r="35" spans="1:14" x14ac:dyDescent="0.25">
      <c r="A35" s="1" t="s">
        <v>415</v>
      </c>
      <c r="B35" t="s">
        <v>281</v>
      </c>
      <c r="C35" t="s">
        <v>416</v>
      </c>
      <c r="D35">
        <v>0</v>
      </c>
      <c r="E35">
        <v>60</v>
      </c>
      <c r="F35">
        <v>150</v>
      </c>
      <c r="G35">
        <v>300</v>
      </c>
      <c r="H35">
        <v>550</v>
      </c>
    </row>
    <row r="36" spans="1:14" x14ac:dyDescent="0.25">
      <c r="A36" s="1" t="s">
        <v>417</v>
      </c>
      <c r="B36" t="s">
        <v>418</v>
      </c>
      <c r="C36" t="s">
        <v>419</v>
      </c>
      <c r="D36">
        <v>0</v>
      </c>
      <c r="E36">
        <v>150</v>
      </c>
    </row>
    <row r="37" spans="1:14" x14ac:dyDescent="0.25">
      <c r="A37" s="1" t="s">
        <v>420</v>
      </c>
      <c r="B37" t="s">
        <v>418</v>
      </c>
      <c r="C37" t="s">
        <v>154</v>
      </c>
      <c r="D37">
        <v>0</v>
      </c>
      <c r="E37">
        <v>200</v>
      </c>
    </row>
    <row r="38" spans="1:14" x14ac:dyDescent="0.25">
      <c r="A38" s="1" t="s">
        <v>421</v>
      </c>
      <c r="B38" t="s">
        <v>418</v>
      </c>
      <c r="C38" t="s">
        <v>166</v>
      </c>
      <c r="D38">
        <v>0</v>
      </c>
      <c r="E38">
        <v>200</v>
      </c>
    </row>
    <row r="39" spans="1:14" x14ac:dyDescent="0.25">
      <c r="A39" s="1" t="s">
        <v>422</v>
      </c>
      <c r="B39" t="s">
        <v>418</v>
      </c>
      <c r="C39" t="s">
        <v>423</v>
      </c>
      <c r="D39">
        <v>0</v>
      </c>
      <c r="E39">
        <v>250</v>
      </c>
    </row>
    <row r="40" spans="1:14" x14ac:dyDescent="0.25">
      <c r="A40" s="1" t="s">
        <v>424</v>
      </c>
      <c r="B40" t="s">
        <v>418</v>
      </c>
      <c r="C40" t="s">
        <v>171</v>
      </c>
      <c r="D40">
        <v>0</v>
      </c>
      <c r="E40">
        <v>250</v>
      </c>
    </row>
    <row r="41" spans="1:14" x14ac:dyDescent="0.25">
      <c r="A41" s="1" t="s">
        <v>425</v>
      </c>
      <c r="B41" t="s">
        <v>418</v>
      </c>
      <c r="C41" t="s">
        <v>426</v>
      </c>
      <c r="D41">
        <v>0</v>
      </c>
      <c r="E41">
        <v>300</v>
      </c>
    </row>
    <row r="42" spans="1:14" x14ac:dyDescent="0.25">
      <c r="A42" s="1" t="s">
        <v>427</v>
      </c>
      <c r="B42" t="s">
        <v>418</v>
      </c>
      <c r="C42" t="s">
        <v>157</v>
      </c>
      <c r="D42">
        <v>0</v>
      </c>
      <c r="E42">
        <v>300</v>
      </c>
    </row>
    <row r="43" spans="1:14" x14ac:dyDescent="0.25">
      <c r="A43" s="1" t="s">
        <v>428</v>
      </c>
      <c r="B43" t="s">
        <v>418</v>
      </c>
      <c r="C43" t="s">
        <v>429</v>
      </c>
      <c r="D43">
        <v>0</v>
      </c>
      <c r="E43">
        <v>350</v>
      </c>
    </row>
    <row r="44" spans="1:14" x14ac:dyDescent="0.25">
      <c r="A44" s="1" t="s">
        <v>430</v>
      </c>
      <c r="B44" t="s">
        <v>418</v>
      </c>
      <c r="C44" t="s">
        <v>178</v>
      </c>
      <c r="D44">
        <v>0</v>
      </c>
      <c r="E44">
        <v>350</v>
      </c>
    </row>
    <row r="45" spans="1:14" x14ac:dyDescent="0.25">
      <c r="A45" s="1" t="s">
        <v>431</v>
      </c>
      <c r="B45" t="s">
        <v>418</v>
      </c>
      <c r="C45" t="s">
        <v>181</v>
      </c>
      <c r="D45">
        <v>0</v>
      </c>
      <c r="E45">
        <v>400</v>
      </c>
    </row>
    <row r="46" spans="1:14" x14ac:dyDescent="0.25">
      <c r="A46" s="1" t="s">
        <v>432</v>
      </c>
      <c r="B46" t="s">
        <v>418</v>
      </c>
      <c r="C46" t="s">
        <v>184</v>
      </c>
      <c r="D46">
        <v>0</v>
      </c>
      <c r="E46">
        <v>380</v>
      </c>
    </row>
    <row r="47" spans="1:14" x14ac:dyDescent="0.25">
      <c r="A47" s="1" t="s">
        <v>433</v>
      </c>
      <c r="B47" t="s">
        <v>418</v>
      </c>
      <c r="C47" t="s">
        <v>187</v>
      </c>
      <c r="D47">
        <v>0</v>
      </c>
      <c r="E47">
        <v>420</v>
      </c>
    </row>
    <row r="48" spans="1:14" x14ac:dyDescent="0.25">
      <c r="A48" s="1" t="s">
        <v>434</v>
      </c>
      <c r="B48" t="s">
        <v>418</v>
      </c>
      <c r="C48" t="s">
        <v>190</v>
      </c>
      <c r="D48">
        <v>0</v>
      </c>
      <c r="E48">
        <v>400</v>
      </c>
    </row>
    <row r="49" spans="1:14" x14ac:dyDescent="0.25">
      <c r="A49" s="1" t="s">
        <v>435</v>
      </c>
      <c r="B49" t="s">
        <v>418</v>
      </c>
      <c r="C49" t="s">
        <v>193</v>
      </c>
      <c r="D49">
        <v>0</v>
      </c>
      <c r="E49">
        <v>440</v>
      </c>
    </row>
    <row r="50" spans="1:14" x14ac:dyDescent="0.25">
      <c r="A50" s="1" t="s">
        <v>436</v>
      </c>
      <c r="B50" t="s">
        <v>418</v>
      </c>
      <c r="C50" t="s">
        <v>196</v>
      </c>
      <c r="D50">
        <v>0</v>
      </c>
      <c r="E50">
        <v>410</v>
      </c>
    </row>
    <row r="51" spans="1:14" x14ac:dyDescent="0.25">
      <c r="A51" s="1" t="s">
        <v>437</v>
      </c>
      <c r="B51" t="s">
        <v>418</v>
      </c>
      <c r="C51" t="s">
        <v>199</v>
      </c>
      <c r="D51">
        <v>0</v>
      </c>
      <c r="E51">
        <v>430</v>
      </c>
    </row>
    <row r="52" spans="1:14" x14ac:dyDescent="0.25">
      <c r="A52" s="1" t="s">
        <v>438</v>
      </c>
      <c r="B52" t="s">
        <v>418</v>
      </c>
      <c r="C52" t="s">
        <v>201</v>
      </c>
      <c r="D52">
        <v>0</v>
      </c>
      <c r="E52">
        <v>460</v>
      </c>
    </row>
    <row r="53" spans="1:14" x14ac:dyDescent="0.25">
      <c r="A53" s="1" t="s">
        <v>439</v>
      </c>
      <c r="B53" t="s">
        <v>418</v>
      </c>
      <c r="C53" t="s">
        <v>204</v>
      </c>
      <c r="D53">
        <v>0</v>
      </c>
      <c r="E53">
        <v>400</v>
      </c>
    </row>
    <row r="54" spans="1:14" x14ac:dyDescent="0.25">
      <c r="A54" s="1" t="s">
        <v>440</v>
      </c>
      <c r="B54" t="s">
        <v>418</v>
      </c>
      <c r="C54" t="s">
        <v>207</v>
      </c>
      <c r="D54">
        <v>0</v>
      </c>
      <c r="E54">
        <v>420</v>
      </c>
    </row>
    <row r="55" spans="1:14" x14ac:dyDescent="0.25">
      <c r="A55" s="1" t="s">
        <v>441</v>
      </c>
      <c r="B55" t="s">
        <v>418</v>
      </c>
      <c r="C55" t="s">
        <v>208</v>
      </c>
      <c r="D55">
        <v>0</v>
      </c>
      <c r="E55">
        <v>440</v>
      </c>
    </row>
    <row r="56" spans="1:14" x14ac:dyDescent="0.25">
      <c r="A56" s="1" t="s">
        <v>442</v>
      </c>
      <c r="B56" t="s">
        <v>418</v>
      </c>
      <c r="C56" t="s">
        <v>210</v>
      </c>
      <c r="D56">
        <v>0</v>
      </c>
      <c r="E56">
        <v>400</v>
      </c>
    </row>
    <row r="57" spans="1:14" x14ac:dyDescent="0.25">
      <c r="A57" s="1" t="s">
        <v>443</v>
      </c>
      <c r="B57" t="s">
        <v>418</v>
      </c>
      <c r="C57" t="s">
        <v>213</v>
      </c>
      <c r="D57">
        <v>0</v>
      </c>
      <c r="E57">
        <v>430</v>
      </c>
    </row>
    <row r="58" spans="1:14" x14ac:dyDescent="0.25">
      <c r="A58" s="1" t="s">
        <v>444</v>
      </c>
      <c r="B58" t="s">
        <v>418</v>
      </c>
      <c r="C58" t="s">
        <v>160</v>
      </c>
      <c r="D58">
        <v>0</v>
      </c>
      <c r="E58">
        <v>450</v>
      </c>
    </row>
    <row r="59" spans="1:14" x14ac:dyDescent="0.25">
      <c r="A59" s="1" t="s">
        <v>445</v>
      </c>
      <c r="B59" t="s">
        <v>387</v>
      </c>
      <c r="C59" t="s">
        <v>446</v>
      </c>
      <c r="D59">
        <v>0</v>
      </c>
      <c r="E59">
        <v>70</v>
      </c>
    </row>
    <row r="60" spans="1:14" x14ac:dyDescent="0.25">
      <c r="A60" s="1" t="s">
        <v>447</v>
      </c>
      <c r="B60" t="s">
        <v>387</v>
      </c>
      <c r="C60" t="s">
        <v>448</v>
      </c>
      <c r="D60">
        <v>0</v>
      </c>
      <c r="E60">
        <v>90</v>
      </c>
    </row>
    <row r="61" spans="1:14" x14ac:dyDescent="0.25">
      <c r="A61" s="1" t="s">
        <v>449</v>
      </c>
      <c r="B61" t="s">
        <v>387</v>
      </c>
      <c r="C61" t="s">
        <v>450</v>
      </c>
      <c r="D61">
        <v>0</v>
      </c>
      <c r="E61">
        <v>80</v>
      </c>
    </row>
    <row r="62" spans="1:14" x14ac:dyDescent="0.25">
      <c r="A62" s="1" t="s">
        <v>451</v>
      </c>
      <c r="B62" t="s">
        <v>387</v>
      </c>
      <c r="C62" t="s">
        <v>452</v>
      </c>
      <c r="D62">
        <v>0</v>
      </c>
      <c r="E62">
        <v>150</v>
      </c>
    </row>
    <row r="63" spans="1:14" x14ac:dyDescent="0.25">
      <c r="A63" s="1" t="s">
        <v>453</v>
      </c>
      <c r="B63" t="s">
        <v>387</v>
      </c>
      <c r="C63" t="s">
        <v>454</v>
      </c>
      <c r="D63">
        <v>0</v>
      </c>
      <c r="E63">
        <v>90</v>
      </c>
    </row>
    <row r="64" spans="1:14" x14ac:dyDescent="0.25">
      <c r="A64" s="1" t="s">
        <v>455</v>
      </c>
      <c r="B64" t="s">
        <v>387</v>
      </c>
      <c r="C64" t="s">
        <v>456</v>
      </c>
      <c r="D64">
        <v>0</v>
      </c>
      <c r="E64">
        <v>70</v>
      </c>
    </row>
    <row r="65" spans="1:14" x14ac:dyDescent="0.25">
      <c r="A65" s="1" t="s">
        <v>457</v>
      </c>
      <c r="B65" t="s">
        <v>387</v>
      </c>
      <c r="C65" t="s">
        <v>458</v>
      </c>
      <c r="D65">
        <v>0</v>
      </c>
      <c r="E65">
        <v>110</v>
      </c>
    </row>
    <row r="66" spans="1:14" x14ac:dyDescent="0.25">
      <c r="A66" s="1" t="s">
        <v>459</v>
      </c>
      <c r="B66" t="s">
        <v>387</v>
      </c>
      <c r="C66" t="s">
        <v>460</v>
      </c>
      <c r="D66">
        <v>0</v>
      </c>
      <c r="E66">
        <v>40</v>
      </c>
    </row>
    <row r="67" spans="1:14" x14ac:dyDescent="0.25">
      <c r="A67" s="1" t="s">
        <v>461</v>
      </c>
      <c r="B67" t="s">
        <v>387</v>
      </c>
      <c r="C67" t="s">
        <v>462</v>
      </c>
      <c r="D67">
        <v>0</v>
      </c>
      <c r="E67">
        <v>60</v>
      </c>
    </row>
    <row r="68" spans="1:14" x14ac:dyDescent="0.25">
      <c r="A68" s="1" t="s">
        <v>463</v>
      </c>
      <c r="B68" t="s">
        <v>387</v>
      </c>
      <c r="C68" t="s">
        <v>464</v>
      </c>
      <c r="D68">
        <v>0</v>
      </c>
      <c r="E68">
        <v>60</v>
      </c>
    </row>
    <row r="69" spans="1:14" x14ac:dyDescent="0.25">
      <c r="A69" s="1" t="s">
        <v>465</v>
      </c>
      <c r="B69" t="s">
        <v>387</v>
      </c>
      <c r="C69" t="s">
        <v>466</v>
      </c>
      <c r="D69">
        <v>0</v>
      </c>
      <c r="E69">
        <v>50</v>
      </c>
    </row>
    <row r="70" spans="1:14" x14ac:dyDescent="0.25">
      <c r="A70" s="1" t="s">
        <v>467</v>
      </c>
      <c r="B70" t="s">
        <v>387</v>
      </c>
      <c r="C70" t="s">
        <v>468</v>
      </c>
      <c r="D70">
        <v>0</v>
      </c>
      <c r="E70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26" customWidth="1"/>
    <col min="3" max="20" width="13" customWidth="1"/>
  </cols>
  <sheetData>
    <row r="1" spans="1:20" x14ac:dyDescent="0.25">
      <c r="A1" s="2" t="s">
        <v>6</v>
      </c>
      <c r="B1" s="3" t="s">
        <v>7</v>
      </c>
      <c r="C1" s="3" t="s">
        <v>469</v>
      </c>
      <c r="D1" s="3" t="s">
        <v>470</v>
      </c>
      <c r="E1" s="3" t="s">
        <v>471</v>
      </c>
      <c r="F1" s="3" t="s">
        <v>472</v>
      </c>
      <c r="G1" s="3" t="s">
        <v>473</v>
      </c>
      <c r="H1" s="3" t="s">
        <v>474</v>
      </c>
      <c r="I1" s="3" t="s">
        <v>475</v>
      </c>
      <c r="J1" s="3" t="s">
        <v>476</v>
      </c>
      <c r="K1" s="3" t="s">
        <v>477</v>
      </c>
      <c r="L1" s="3" t="s">
        <v>478</v>
      </c>
      <c r="M1" s="3" t="s">
        <v>479</v>
      </c>
      <c r="N1" s="3" t="s">
        <v>480</v>
      </c>
      <c r="O1" s="3" t="s">
        <v>481</v>
      </c>
      <c r="P1" s="3" t="s">
        <v>482</v>
      </c>
      <c r="Q1" s="3" t="s">
        <v>483</v>
      </c>
      <c r="R1" s="3" t="s">
        <v>484</v>
      </c>
      <c r="S1" s="3" t="s">
        <v>485</v>
      </c>
      <c r="T1" s="3" t="s">
        <v>486</v>
      </c>
    </row>
    <row r="2" ht="78" customHeight="1" spans="1:20" x14ac:dyDescent="0.25">
      <c r="A2" s="4" t="s">
        <v>218</v>
      </c>
      <c r="B2" s="5" t="s">
        <v>123</v>
      </c>
      <c r="C2" s="5" t="s">
        <v>487</v>
      </c>
      <c r="D2" s="5" t="s">
        <v>488</v>
      </c>
      <c r="E2" s="5" t="s">
        <v>489</v>
      </c>
      <c r="F2" s="5" t="s">
        <v>490</v>
      </c>
      <c r="G2" s="5" t="s">
        <v>491</v>
      </c>
      <c r="H2" s="5" t="s">
        <v>492</v>
      </c>
      <c r="I2" s="5" t="s">
        <v>295</v>
      </c>
      <c r="J2" s="5" t="s">
        <v>295</v>
      </c>
      <c r="K2" s="5" t="s">
        <v>295</v>
      </c>
      <c r="L2" s="5" t="s">
        <v>493</v>
      </c>
      <c r="M2" s="5" t="s">
        <v>494</v>
      </c>
      <c r="N2" s="5" t="s">
        <v>495</v>
      </c>
      <c r="O2" s="5" t="s">
        <v>496</v>
      </c>
      <c r="P2" s="5" t="s">
        <v>497</v>
      </c>
      <c r="Q2" s="5" t="s">
        <v>498</v>
      </c>
      <c r="R2" s="5" t="s">
        <v>295</v>
      </c>
      <c r="S2" s="5" t="s">
        <v>295</v>
      </c>
      <c r="T2" s="5" t="s">
        <v>295</v>
      </c>
    </row>
    <row r="3" spans="1:20" x14ac:dyDescent="0.25">
      <c r="A3" s="1" t="s">
        <v>499</v>
      </c>
      <c r="B3" t="s">
        <v>500</v>
      </c>
      <c r="C3">
        <v>1.6</v>
      </c>
      <c r="D3">
        <v>0.8</v>
      </c>
      <c r="E3">
        <v>1</v>
      </c>
      <c r="F3">
        <v>1</v>
      </c>
      <c r="G3">
        <v>1</v>
      </c>
      <c r="H3">
        <v>1</v>
      </c>
      <c r="I3">
        <v>0.8</v>
      </c>
      <c r="J3">
        <v>1.5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-1</v>
      </c>
      <c r="T3">
        <v>-1</v>
      </c>
    </row>
    <row r="4" spans="1:20" x14ac:dyDescent="0.25">
      <c r="A4" s="1" t="s">
        <v>501</v>
      </c>
      <c r="B4" t="s">
        <v>502</v>
      </c>
      <c r="C4">
        <v>0.6</v>
      </c>
      <c r="D4">
        <v>2</v>
      </c>
      <c r="E4">
        <v>1</v>
      </c>
      <c r="F4">
        <v>1.8</v>
      </c>
      <c r="G4">
        <v>1</v>
      </c>
      <c r="H4">
        <v>1</v>
      </c>
      <c r="I4">
        <v>1.5</v>
      </c>
      <c r="J4">
        <v>0.6</v>
      </c>
      <c r="K4">
        <v>1</v>
      </c>
      <c r="L4">
        <v>-1</v>
      </c>
      <c r="M4">
        <v>-1</v>
      </c>
      <c r="N4">
        <v>-1</v>
      </c>
      <c r="O4">
        <v>0.8</v>
      </c>
      <c r="P4">
        <v>-1</v>
      </c>
      <c r="Q4">
        <v>-1</v>
      </c>
      <c r="R4">
        <v>-1</v>
      </c>
      <c r="S4">
        <v>-1</v>
      </c>
      <c r="T4">
        <v>-1</v>
      </c>
    </row>
    <row r="5" spans="1:20" x14ac:dyDescent="0.25">
      <c r="A5" s="1" t="s">
        <v>503</v>
      </c>
      <c r="B5" t="s">
        <v>504</v>
      </c>
      <c r="C5">
        <v>1</v>
      </c>
      <c r="D5">
        <v>1</v>
      </c>
      <c r="E5">
        <v>2.4</v>
      </c>
      <c r="F5">
        <v>1</v>
      </c>
      <c r="G5">
        <v>1</v>
      </c>
      <c r="H5">
        <v>1</v>
      </c>
      <c r="I5">
        <v>1</v>
      </c>
      <c r="J5">
        <v>1.2</v>
      </c>
      <c r="K5">
        <v>1</v>
      </c>
      <c r="L5">
        <v>-1</v>
      </c>
      <c r="M5">
        <v>-1</v>
      </c>
      <c r="N5">
        <v>0.6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</row>
    <row r="6" spans="1:20" x14ac:dyDescent="0.25">
      <c r="A6" s="1" t="s">
        <v>505</v>
      </c>
      <c r="B6" t="s">
        <v>506</v>
      </c>
      <c r="C6">
        <v>1</v>
      </c>
      <c r="D6">
        <v>1</v>
      </c>
      <c r="E6">
        <v>1</v>
      </c>
      <c r="F6">
        <v>1</v>
      </c>
      <c r="G6">
        <v>1</v>
      </c>
      <c r="H6">
        <v>1.5</v>
      </c>
      <c r="I6">
        <v>0.8</v>
      </c>
      <c r="J6">
        <v>0.8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2.5</v>
      </c>
      <c r="R6">
        <v>-1</v>
      </c>
      <c r="S6">
        <v>-1</v>
      </c>
      <c r="T6">
        <v>-1</v>
      </c>
    </row>
    <row r="7" spans="1:20" x14ac:dyDescent="0.25">
      <c r="A7" s="1" t="s">
        <v>507</v>
      </c>
      <c r="B7" t="s">
        <v>508</v>
      </c>
      <c r="C7">
        <v>0.8</v>
      </c>
      <c r="D7">
        <v>1.3</v>
      </c>
      <c r="E7">
        <v>1.3</v>
      </c>
      <c r="F7">
        <v>1.3</v>
      </c>
      <c r="G7">
        <v>1</v>
      </c>
      <c r="H7">
        <v>1</v>
      </c>
      <c r="I7">
        <v>1.2</v>
      </c>
      <c r="J7">
        <v>1.2</v>
      </c>
      <c r="K7">
        <v>1</v>
      </c>
      <c r="L7">
        <v>-1</v>
      </c>
      <c r="M7">
        <v>-1</v>
      </c>
      <c r="N7">
        <v>1</v>
      </c>
      <c r="O7">
        <v>1</v>
      </c>
      <c r="P7">
        <v>-1</v>
      </c>
      <c r="Q7">
        <v>-1</v>
      </c>
      <c r="R7">
        <v>-1</v>
      </c>
      <c r="S7">
        <v>-1</v>
      </c>
      <c r="T7">
        <v>-1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11" customWidth="1"/>
    <col min="3" max="3" width="95" customWidth="1"/>
  </cols>
  <sheetData>
    <row r="1" spans="1:3" x14ac:dyDescent="0.25">
      <c r="A1" s="2" t="s">
        <v>6</v>
      </c>
      <c r="B1" s="3" t="s">
        <v>509</v>
      </c>
      <c r="C1" s="3" t="s">
        <v>510</v>
      </c>
    </row>
    <row r="2" ht="78" customHeight="1" spans="1:3" x14ac:dyDescent="0.25">
      <c r="A2" s="4" t="s">
        <v>218</v>
      </c>
      <c r="B2" s="5" t="s">
        <v>511</v>
      </c>
      <c r="C2" s="5" t="s">
        <v>512</v>
      </c>
    </row>
    <row r="3" spans="1:3" x14ac:dyDescent="0.25">
      <c r="A3" s="1" t="s">
        <v>513</v>
      </c>
      <c r="B3">
        <v>3</v>
      </c>
      <c r="C3" t="s">
        <v>514</v>
      </c>
    </row>
    <row r="4" spans="1:3" x14ac:dyDescent="0.25">
      <c r="A4" s="1" t="s">
        <v>515</v>
      </c>
      <c r="B4">
        <v>12</v>
      </c>
      <c r="C4" t="s">
        <v>516</v>
      </c>
    </row>
    <row r="5" spans="1:3" x14ac:dyDescent="0.25">
      <c r="A5" s="1" t="s">
        <v>517</v>
      </c>
      <c r="B5">
        <v>0.8</v>
      </c>
      <c r="C5" t="s">
        <v>518</v>
      </c>
    </row>
    <row r="6" spans="1:3" x14ac:dyDescent="0.25">
      <c r="A6" s="1" t="s">
        <v>519</v>
      </c>
      <c r="B6">
        <v>0.16</v>
      </c>
      <c r="C6" t="s">
        <v>520</v>
      </c>
    </row>
    <row r="7" spans="1:3" x14ac:dyDescent="0.25">
      <c r="A7" s="1" t="s">
        <v>521</v>
      </c>
      <c r="B7">
        <v>2</v>
      </c>
      <c r="C7" t="s">
        <v>522</v>
      </c>
    </row>
    <row r="8" spans="1:3" x14ac:dyDescent="0.25">
      <c r="A8" s="1" t="s">
        <v>523</v>
      </c>
      <c r="B8">
        <v>0.35</v>
      </c>
      <c r="C8" t="s">
        <v>524</v>
      </c>
    </row>
    <row r="9" spans="1:3" x14ac:dyDescent="0.25">
      <c r="A9" s="1" t="s">
        <v>525</v>
      </c>
      <c r="B9">
        <v>3</v>
      </c>
      <c r="C9" t="s">
        <v>526</v>
      </c>
    </row>
    <row r="10" spans="1:3" x14ac:dyDescent="0.25">
      <c r="A10" s="1" t="s">
        <v>527</v>
      </c>
      <c r="B10">
        <v>0.09</v>
      </c>
      <c r="C10" t="s">
        <v>528</v>
      </c>
    </row>
    <row r="11" spans="1:3" x14ac:dyDescent="0.25">
      <c r="A11" s="1" t="s">
        <v>529</v>
      </c>
      <c r="B11">
        <v>4</v>
      </c>
      <c r="C11" t="s">
        <v>530</v>
      </c>
    </row>
    <row r="12" spans="1:3" x14ac:dyDescent="0.25">
      <c r="A12" s="1" t="s">
        <v>531</v>
      </c>
      <c r="B12">
        <v>4</v>
      </c>
      <c r="C12" t="s">
        <v>532</v>
      </c>
    </row>
    <row r="13" spans="1:3" x14ac:dyDescent="0.25">
      <c r="A13" s="1" t="s">
        <v>533</v>
      </c>
      <c r="B13">
        <v>0.7</v>
      </c>
      <c r="C13" t="s">
        <v>534</v>
      </c>
    </row>
    <row r="14" spans="1:3" x14ac:dyDescent="0.25">
      <c r="A14" s="1" t="s">
        <v>535</v>
      </c>
      <c r="B14">
        <v>0.6</v>
      </c>
      <c r="C14" t="s">
        <v>536</v>
      </c>
    </row>
    <row r="15" spans="1:3" x14ac:dyDescent="0.25">
      <c r="A15" s="1" t="s">
        <v>537</v>
      </c>
      <c r="B15">
        <v>6</v>
      </c>
      <c r="C15" t="s">
        <v>538</v>
      </c>
    </row>
    <row r="16" spans="1:3" x14ac:dyDescent="0.25">
      <c r="A16" s="1" t="s">
        <v>539</v>
      </c>
      <c r="B16">
        <v>0.5</v>
      </c>
      <c r="C16" t="s">
        <v>540</v>
      </c>
    </row>
    <row r="17" spans="1:3" x14ac:dyDescent="0.25">
      <c r="A17" s="1" t="s">
        <v>541</v>
      </c>
      <c r="B17">
        <v>0.3</v>
      </c>
      <c r="C17" t="s">
        <v>542</v>
      </c>
    </row>
    <row r="18" spans="1:3" x14ac:dyDescent="0.25">
      <c r="A18" s="1" t="s">
        <v>543</v>
      </c>
      <c r="B18">
        <v>0.5</v>
      </c>
      <c r="C18" t="s">
        <v>544</v>
      </c>
    </row>
    <row r="19" spans="1:3" x14ac:dyDescent="0.25">
      <c r="A19" s="1" t="s">
        <v>545</v>
      </c>
      <c r="B19">
        <v>0.1</v>
      </c>
      <c r="C19" t="s">
        <v>546</v>
      </c>
    </row>
    <row r="20" spans="1:3" x14ac:dyDescent="0.25">
      <c r="A20" s="1" t="s">
        <v>547</v>
      </c>
      <c r="B20">
        <v>3</v>
      </c>
      <c r="C20" t="s">
        <v>548</v>
      </c>
    </row>
    <row r="21" spans="1:3" x14ac:dyDescent="0.25">
      <c r="A21" s="1" t="s">
        <v>549</v>
      </c>
      <c r="B21">
        <v>5</v>
      </c>
      <c r="C21" t="s">
        <v>550</v>
      </c>
    </row>
    <row r="22" spans="1:3" x14ac:dyDescent="0.25">
      <c r="A22" s="1" t="s">
        <v>551</v>
      </c>
      <c r="B22">
        <v>1.2</v>
      </c>
      <c r="C22" t="s">
        <v>552</v>
      </c>
    </row>
    <row r="23" spans="1:3" x14ac:dyDescent="0.25">
      <c r="A23" s="1" t="s">
        <v>553</v>
      </c>
      <c r="B23">
        <v>2</v>
      </c>
      <c r="C23" t="s">
        <v>554</v>
      </c>
    </row>
    <row r="24" spans="1:3" x14ac:dyDescent="0.25">
      <c r="A24" s="1" t="s">
        <v>555</v>
      </c>
      <c r="B24">
        <v>1.6</v>
      </c>
      <c r="C24" t="s">
        <v>556</v>
      </c>
    </row>
    <row r="25" spans="1:3" x14ac:dyDescent="0.25">
      <c r="A25" s="1" t="s">
        <v>557</v>
      </c>
      <c r="B25">
        <v>1.3</v>
      </c>
      <c r="C25" t="s">
        <v>558</v>
      </c>
    </row>
    <row r="26" spans="1:3" x14ac:dyDescent="0.25">
      <c r="A26" s="1" t="s">
        <v>559</v>
      </c>
      <c r="B26">
        <v>2.5</v>
      </c>
      <c r="C26" t="s">
        <v>560</v>
      </c>
    </row>
    <row r="27" spans="1:3" x14ac:dyDescent="0.25">
      <c r="A27" s="1" t="s">
        <v>561</v>
      </c>
      <c r="B27">
        <v>4.5</v>
      </c>
      <c r="C27" t="s">
        <v>562</v>
      </c>
    </row>
    <row r="28" spans="1:3" x14ac:dyDescent="0.25">
      <c r="A28" s="1" t="s">
        <v>563</v>
      </c>
      <c r="B28">
        <v>1.6</v>
      </c>
      <c r="C28" t="s">
        <v>564</v>
      </c>
    </row>
    <row r="29" spans="1:3" x14ac:dyDescent="0.25">
      <c r="A29" s="1" t="s">
        <v>565</v>
      </c>
      <c r="B29">
        <v>0.3</v>
      </c>
      <c r="C29" t="s">
        <v>566</v>
      </c>
    </row>
    <row r="30" spans="1:3" x14ac:dyDescent="0.25">
      <c r="A30" s="1" t="s">
        <v>567</v>
      </c>
      <c r="B30">
        <v>0.45</v>
      </c>
      <c r="C30" t="s">
        <v>568</v>
      </c>
    </row>
    <row r="31" spans="1:3" x14ac:dyDescent="0.25">
      <c r="A31" s="1" t="s">
        <v>569</v>
      </c>
      <c r="B31">
        <v>2</v>
      </c>
      <c r="C31" t="s">
        <v>570</v>
      </c>
    </row>
    <row r="32" spans="1:3" x14ac:dyDescent="0.25">
      <c r="A32" s="1" t="s">
        <v>571</v>
      </c>
      <c r="B32">
        <v>0.7</v>
      </c>
      <c r="C32" t="s">
        <v>572</v>
      </c>
    </row>
    <row r="33" spans="1:3" x14ac:dyDescent="0.25">
      <c r="A33" s="1" t="s">
        <v>573</v>
      </c>
      <c r="B33">
        <v>0.5</v>
      </c>
      <c r="C33" t="s">
        <v>574</v>
      </c>
    </row>
    <row r="34" spans="1:3" x14ac:dyDescent="0.25">
      <c r="A34" s="1" t="s">
        <v>575</v>
      </c>
      <c r="B34">
        <v>0.7</v>
      </c>
      <c r="C34" t="s">
        <v>576</v>
      </c>
    </row>
    <row r="35" spans="1:3" x14ac:dyDescent="0.25">
      <c r="A35" s="1" t="s">
        <v>577</v>
      </c>
      <c r="B35">
        <v>1.4</v>
      </c>
      <c r="C35" t="s">
        <v>578</v>
      </c>
    </row>
    <row r="36" spans="1:3" x14ac:dyDescent="0.25">
      <c r="A36" s="1" t="s">
        <v>579</v>
      </c>
      <c r="B36">
        <v>2.5</v>
      </c>
      <c r="C36" t="s">
        <v>580</v>
      </c>
    </row>
    <row r="37" spans="1:3" x14ac:dyDescent="0.25">
      <c r="A37" s="1" t="s">
        <v>581</v>
      </c>
      <c r="B37">
        <v>0.2</v>
      </c>
      <c r="C37" t="s">
        <v>582</v>
      </c>
    </row>
    <row r="38" spans="1:3" x14ac:dyDescent="0.25">
      <c r="A38" s="1" t="s">
        <v>583</v>
      </c>
      <c r="B38">
        <v>0.28</v>
      </c>
      <c r="C38" t="s">
        <v>584</v>
      </c>
    </row>
    <row r="39" spans="1:3" x14ac:dyDescent="0.25">
      <c r="A39" s="1" t="s">
        <v>585</v>
      </c>
      <c r="B39">
        <v>1.6</v>
      </c>
      <c r="C39" t="s">
        <v>586</v>
      </c>
    </row>
    <row r="40" spans="1:3" x14ac:dyDescent="0.25">
      <c r="A40" s="1" t="s">
        <v>587</v>
      </c>
      <c r="B40">
        <v>0.4</v>
      </c>
      <c r="C40" t="s">
        <v>588</v>
      </c>
    </row>
    <row r="41" spans="1:3" x14ac:dyDescent="0.25">
      <c r="A41" s="1" t="s">
        <v>589</v>
      </c>
      <c r="B41">
        <v>1</v>
      </c>
      <c r="C41" t="s">
        <v>590</v>
      </c>
    </row>
    <row r="42" spans="1:3" x14ac:dyDescent="0.25">
      <c r="A42" s="1" t="s">
        <v>591</v>
      </c>
      <c r="B42">
        <v>4.5</v>
      </c>
      <c r="C42" t="s">
        <v>592</v>
      </c>
    </row>
    <row r="43" spans="1:3" x14ac:dyDescent="0.25">
      <c r="A43" s="1" t="s">
        <v>593</v>
      </c>
      <c r="B43">
        <v>2.5</v>
      </c>
      <c r="C43" t="s">
        <v>594</v>
      </c>
    </row>
    <row r="44" spans="1:3" x14ac:dyDescent="0.25">
      <c r="A44" s="1" t="s">
        <v>595</v>
      </c>
      <c r="B44">
        <v>1.5</v>
      </c>
      <c r="C44" t="s">
        <v>596</v>
      </c>
    </row>
    <row r="45" spans="1:3" x14ac:dyDescent="0.25">
      <c r="A45" s="1" t="s">
        <v>597</v>
      </c>
      <c r="B45">
        <v>6</v>
      </c>
      <c r="C45" t="s">
        <v>598</v>
      </c>
    </row>
    <row r="46" spans="1:3" x14ac:dyDescent="0.25">
      <c r="A46" s="1" t="s">
        <v>599</v>
      </c>
      <c r="B46">
        <v>0.6</v>
      </c>
      <c r="C46" t="s">
        <v>600</v>
      </c>
    </row>
    <row r="47" spans="1:3" x14ac:dyDescent="0.25">
      <c r="A47" s="1" t="s">
        <v>601</v>
      </c>
      <c r="B47">
        <v>3</v>
      </c>
      <c r="C47" t="s">
        <v>602</v>
      </c>
    </row>
    <row r="48" spans="1:3" x14ac:dyDescent="0.25">
      <c r="A48" s="1" t="s">
        <v>603</v>
      </c>
      <c r="B48">
        <v>1.5</v>
      </c>
      <c r="C48" t="s">
        <v>604</v>
      </c>
    </row>
    <row r="49" spans="1:3" x14ac:dyDescent="0.25">
      <c r="A49" s="1" t="s">
        <v>605</v>
      </c>
      <c r="B49">
        <v>26</v>
      </c>
      <c r="C49" t="s">
        <v>606</v>
      </c>
    </row>
    <row r="50" spans="1:3" x14ac:dyDescent="0.25">
      <c r="A50" s="1" t="s">
        <v>607</v>
      </c>
      <c r="B50">
        <v>0.5</v>
      </c>
      <c r="C50" t="s">
        <v>608</v>
      </c>
    </row>
    <row r="51" spans="1:3" x14ac:dyDescent="0.25">
      <c r="A51" s="1" t="s">
        <v>609</v>
      </c>
      <c r="B51">
        <v>0.35</v>
      </c>
      <c r="C51" t="s">
        <v>610</v>
      </c>
    </row>
    <row r="52" spans="1:3" x14ac:dyDescent="0.25">
      <c r="A52" s="1" t="s">
        <v>611</v>
      </c>
      <c r="B52">
        <v>2</v>
      </c>
      <c r="C52" t="s">
        <v>612</v>
      </c>
    </row>
    <row r="53" spans="1:3" x14ac:dyDescent="0.25">
      <c r="A53" s="1" t="s">
        <v>613</v>
      </c>
      <c r="B53">
        <v>2</v>
      </c>
      <c r="C53" t="s">
        <v>614</v>
      </c>
    </row>
    <row r="54" spans="1:3" x14ac:dyDescent="0.25">
      <c r="A54" s="1" t="s">
        <v>615</v>
      </c>
      <c r="B54">
        <v>0.14</v>
      </c>
      <c r="C54" t="s">
        <v>616</v>
      </c>
    </row>
    <row r="55" spans="1:3" x14ac:dyDescent="0.25">
      <c r="A55" s="1" t="s">
        <v>617</v>
      </c>
      <c r="B55">
        <v>0.7</v>
      </c>
      <c r="C55" t="s">
        <v>618</v>
      </c>
    </row>
    <row r="56" spans="1:3" x14ac:dyDescent="0.25">
      <c r="A56" s="1" t="s">
        <v>619</v>
      </c>
      <c r="B56">
        <v>6</v>
      </c>
      <c r="C56" t="s">
        <v>620</v>
      </c>
    </row>
    <row r="57" spans="1:3" x14ac:dyDescent="0.25">
      <c r="A57" s="1" t="s">
        <v>621</v>
      </c>
      <c r="B57">
        <v>14</v>
      </c>
      <c r="C57" t="s">
        <v>622</v>
      </c>
    </row>
    <row r="58" spans="1:3" x14ac:dyDescent="0.25">
      <c r="A58" s="1" t="s">
        <v>623</v>
      </c>
      <c r="B58">
        <v>2</v>
      </c>
      <c r="C58" t="s">
        <v>624</v>
      </c>
    </row>
    <row r="59" spans="1:3" x14ac:dyDescent="0.25">
      <c r="A59" s="1" t="s">
        <v>625</v>
      </c>
      <c r="B59">
        <v>4</v>
      </c>
      <c r="C59" t="s">
        <v>626</v>
      </c>
    </row>
    <row r="60" spans="1:3" x14ac:dyDescent="0.25">
      <c r="A60" s="1" t="s">
        <v>627</v>
      </c>
      <c r="B60">
        <v>3</v>
      </c>
      <c r="C60" t="s">
        <v>628</v>
      </c>
    </row>
    <row r="61" spans="1:3" x14ac:dyDescent="0.25">
      <c r="A61" s="1" t="s">
        <v>629</v>
      </c>
      <c r="B61">
        <v>4</v>
      </c>
      <c r="C61" t="s">
        <v>630</v>
      </c>
    </row>
    <row r="62" spans="1:3" x14ac:dyDescent="0.25">
      <c r="A62" s="1" t="s">
        <v>631</v>
      </c>
      <c r="B62">
        <v>0.8</v>
      </c>
      <c r="C62" t="s">
        <v>632</v>
      </c>
    </row>
    <row r="63" spans="1:3" x14ac:dyDescent="0.25">
      <c r="A63" s="1" t="s">
        <v>633</v>
      </c>
      <c r="B63">
        <v>0.9</v>
      </c>
      <c r="C63" t="s">
        <v>634</v>
      </c>
    </row>
    <row r="64" spans="1:3" x14ac:dyDescent="0.25">
      <c r="A64" s="1" t="s">
        <v>635</v>
      </c>
      <c r="B64">
        <v>3</v>
      </c>
      <c r="C64" t="s">
        <v>636</v>
      </c>
    </row>
    <row r="65" spans="1:3" x14ac:dyDescent="0.25">
      <c r="A65" s="1" t="s">
        <v>637</v>
      </c>
      <c r="B65">
        <v>0.5</v>
      </c>
      <c r="C65" t="s">
        <v>638</v>
      </c>
    </row>
    <row r="66" spans="1:3" x14ac:dyDescent="0.25">
      <c r="A66" s="1" t="s">
        <v>639</v>
      </c>
      <c r="B66">
        <v>0.8</v>
      </c>
      <c r="C66" t="s">
        <v>640</v>
      </c>
    </row>
    <row r="67" spans="1:3" x14ac:dyDescent="0.25">
      <c r="A67" s="1" t="s">
        <v>641</v>
      </c>
      <c r="B67">
        <v>0.45</v>
      </c>
      <c r="C67" t="s">
        <v>642</v>
      </c>
    </row>
    <row r="68" spans="1:3" x14ac:dyDescent="0.25">
      <c r="A68" s="1" t="s">
        <v>643</v>
      </c>
      <c r="B68">
        <v>2.2</v>
      </c>
      <c r="C68" t="s">
        <v>644</v>
      </c>
    </row>
    <row r="69" spans="1:3" x14ac:dyDescent="0.25">
      <c r="A69" s="1" t="s">
        <v>645</v>
      </c>
      <c r="B69">
        <v>12</v>
      </c>
      <c r="C69" t="s">
        <v>646</v>
      </c>
    </row>
    <row r="70" spans="1:3" x14ac:dyDescent="0.25">
      <c r="A70" s="1" t="s">
        <v>647</v>
      </c>
      <c r="B70">
        <v>22</v>
      </c>
      <c r="C70" t="s">
        <v>648</v>
      </c>
    </row>
    <row r="71" spans="1:3" x14ac:dyDescent="0.25">
      <c r="A71" s="1" t="s">
        <v>649</v>
      </c>
      <c r="B71">
        <v>0.7</v>
      </c>
      <c r="C71" t="s">
        <v>650</v>
      </c>
    </row>
    <row r="72" spans="1:3" x14ac:dyDescent="0.25">
      <c r="A72" s="1" t="s">
        <v>651</v>
      </c>
      <c r="B72">
        <v>0.6</v>
      </c>
      <c r="C72" t="s">
        <v>652</v>
      </c>
    </row>
    <row r="73" spans="1:3" x14ac:dyDescent="0.25">
      <c r="A73" s="1" t="s">
        <v>653</v>
      </c>
      <c r="B73">
        <v>0.25</v>
      </c>
      <c r="C73" t="s">
        <v>654</v>
      </c>
    </row>
    <row r="74" spans="1:3" x14ac:dyDescent="0.25">
      <c r="A74" s="1" t="s">
        <v>655</v>
      </c>
      <c r="B74">
        <v>3</v>
      </c>
      <c r="C74" t="s">
        <v>656</v>
      </c>
    </row>
    <row r="75" spans="1:3" x14ac:dyDescent="0.25">
      <c r="A75" s="1" t="s">
        <v>657</v>
      </c>
      <c r="B75">
        <v>0.5</v>
      </c>
      <c r="C75" t="s">
        <v>658</v>
      </c>
    </row>
    <row r="76" spans="1:3" x14ac:dyDescent="0.25">
      <c r="A76" s="1" t="s">
        <v>659</v>
      </c>
      <c r="B76">
        <v>0.5</v>
      </c>
      <c r="C76" t="s">
        <v>660</v>
      </c>
    </row>
    <row r="77" spans="1:3" x14ac:dyDescent="0.25">
      <c r="A77" s="1" t="s">
        <v>661</v>
      </c>
      <c r="B77">
        <v>4</v>
      </c>
      <c r="C77" t="s">
        <v>662</v>
      </c>
    </row>
    <row r="78" spans="1:3" x14ac:dyDescent="0.25">
      <c r="A78" s="1" t="s">
        <v>663</v>
      </c>
      <c r="B78">
        <v>2</v>
      </c>
      <c r="C78" t="s">
        <v>664</v>
      </c>
    </row>
    <row r="79" spans="1:3" x14ac:dyDescent="0.25">
      <c r="A79" s="1" t="s">
        <v>665</v>
      </c>
      <c r="B79">
        <v>3</v>
      </c>
      <c r="C79" t="s">
        <v>666</v>
      </c>
    </row>
    <row r="80" spans="1:3" x14ac:dyDescent="0.25">
      <c r="A80" s="1" t="s">
        <v>667</v>
      </c>
      <c r="B80">
        <v>2</v>
      </c>
      <c r="C80" t="s">
        <v>668</v>
      </c>
    </row>
    <row r="81" spans="1:3" x14ac:dyDescent="0.25">
      <c r="A81" s="1" t="s">
        <v>669</v>
      </c>
      <c r="B81">
        <v>0.2</v>
      </c>
      <c r="C81" t="s">
        <v>670</v>
      </c>
    </row>
    <row r="82" spans="1:3" x14ac:dyDescent="0.25">
      <c r="A82" s="1" t="s">
        <v>671</v>
      </c>
      <c r="B82">
        <v>1</v>
      </c>
      <c r="C82" t="s">
        <v>672</v>
      </c>
    </row>
    <row r="83" spans="1:3" x14ac:dyDescent="0.25">
      <c r="A83" s="1" t="s">
        <v>673</v>
      </c>
      <c r="B83">
        <v>4</v>
      </c>
      <c r="C83" t="s">
        <v>674</v>
      </c>
    </row>
    <row r="84" spans="1:3" x14ac:dyDescent="0.25">
      <c r="A84" s="1" t="s">
        <v>675</v>
      </c>
      <c r="B84">
        <v>3</v>
      </c>
      <c r="C84" t="s">
        <v>676</v>
      </c>
    </row>
    <row r="85" spans="1:3" x14ac:dyDescent="0.25">
      <c r="A85" s="1" t="s">
        <v>677</v>
      </c>
      <c r="B85">
        <v>3</v>
      </c>
      <c r="C85" t="s">
        <v>678</v>
      </c>
    </row>
    <row r="86" spans="1:3" x14ac:dyDescent="0.25">
      <c r="A86" s="1" t="s">
        <v>679</v>
      </c>
      <c r="B86">
        <v>0.6</v>
      </c>
      <c r="C86" t="s">
        <v>680</v>
      </c>
    </row>
    <row r="87" spans="1:3" x14ac:dyDescent="0.25">
      <c r="A87" s="1" t="s">
        <v>681</v>
      </c>
      <c r="B87">
        <v>0.5</v>
      </c>
      <c r="C87" t="s">
        <v>682</v>
      </c>
    </row>
    <row r="88" spans="1:3" x14ac:dyDescent="0.25">
      <c r="A88" s="1" t="s">
        <v>683</v>
      </c>
      <c r="B88">
        <v>3</v>
      </c>
      <c r="C88" t="s">
        <v>684</v>
      </c>
    </row>
    <row r="89" spans="1:3" x14ac:dyDescent="0.25">
      <c r="A89" s="1" t="s">
        <v>685</v>
      </c>
      <c r="B89">
        <v>6</v>
      </c>
      <c r="C89" t="s">
        <v>686</v>
      </c>
    </row>
    <row r="90" spans="1:3" x14ac:dyDescent="0.25">
      <c r="A90" s="1" t="s">
        <v>687</v>
      </c>
      <c r="B90">
        <v>6</v>
      </c>
      <c r="C90" t="s">
        <v>688</v>
      </c>
    </row>
    <row r="91" spans="1:3" x14ac:dyDescent="0.25">
      <c r="A91" s="1" t="s">
        <v>689</v>
      </c>
      <c r="B91">
        <v>0.5</v>
      </c>
      <c r="C91" t="s">
        <v>690</v>
      </c>
    </row>
    <row r="92" spans="1:3" x14ac:dyDescent="0.25">
      <c r="A92" s="1" t="s">
        <v>691</v>
      </c>
      <c r="B92">
        <v>0.3</v>
      </c>
      <c r="C92" t="s">
        <v>692</v>
      </c>
    </row>
    <row r="93" spans="1:3" x14ac:dyDescent="0.25">
      <c r="A93" s="1" t="s">
        <v>693</v>
      </c>
      <c r="B93">
        <v>2.2</v>
      </c>
      <c r="C93" t="s">
        <v>694</v>
      </c>
    </row>
    <row r="94" spans="1:3" x14ac:dyDescent="0.25">
      <c r="A94" s="1" t="s">
        <v>695</v>
      </c>
      <c r="B94">
        <v>0.6</v>
      </c>
      <c r="C94" t="s">
        <v>696</v>
      </c>
    </row>
    <row r="95" spans="1:3" x14ac:dyDescent="0.25">
      <c r="A95" s="1" t="s">
        <v>697</v>
      </c>
      <c r="B95">
        <v>0.4</v>
      </c>
      <c r="C95" t="s">
        <v>698</v>
      </c>
    </row>
    <row r="96" spans="1:3" x14ac:dyDescent="0.25">
      <c r="A96" s="1" t="s">
        <v>699</v>
      </c>
      <c r="B96">
        <v>0.5</v>
      </c>
      <c r="C96" t="s">
        <v>700</v>
      </c>
    </row>
    <row r="97" spans="1:3" x14ac:dyDescent="0.25">
      <c r="A97" s="1" t="s">
        <v>701</v>
      </c>
      <c r="B97">
        <v>4</v>
      </c>
      <c r="C97" t="s">
        <v>702</v>
      </c>
    </row>
    <row r="98" spans="1:3" x14ac:dyDescent="0.25">
      <c r="A98" s="1" t="s">
        <v>703</v>
      </c>
      <c r="B98">
        <v>3</v>
      </c>
      <c r="C98" t="s">
        <v>704</v>
      </c>
    </row>
    <row r="99" spans="1:3" x14ac:dyDescent="0.25">
      <c r="A99" s="1" t="s">
        <v>705</v>
      </c>
      <c r="B99">
        <v>2.5</v>
      </c>
      <c r="C99" t="s">
        <v>706</v>
      </c>
    </row>
    <row r="100" spans="1:3" x14ac:dyDescent="0.25">
      <c r="A100" s="1" t="s">
        <v>707</v>
      </c>
      <c r="B100">
        <v>1.3</v>
      </c>
      <c r="C100" t="s">
        <v>708</v>
      </c>
    </row>
    <row r="101" spans="1:3" x14ac:dyDescent="0.25">
      <c r="A101" s="1" t="s">
        <v>709</v>
      </c>
      <c r="B101">
        <v>5</v>
      </c>
      <c r="C101" t="s">
        <v>710</v>
      </c>
    </row>
    <row r="102" spans="1:3" x14ac:dyDescent="0.25">
      <c r="A102" s="1" t="s">
        <v>711</v>
      </c>
      <c r="B102">
        <v>6</v>
      </c>
      <c r="C102" t="s">
        <v>712</v>
      </c>
    </row>
    <row r="103" spans="1:3" x14ac:dyDescent="0.25">
      <c r="A103" s="1" t="s">
        <v>713</v>
      </c>
      <c r="B103">
        <v>10</v>
      </c>
      <c r="C103" t="s">
        <v>714</v>
      </c>
    </row>
    <row r="104" spans="1:3" x14ac:dyDescent="0.25">
      <c r="A104" s="1" t="s">
        <v>715</v>
      </c>
      <c r="B104">
        <v>0.5</v>
      </c>
      <c r="C104" t="s">
        <v>716</v>
      </c>
    </row>
    <row r="105" spans="1:3" x14ac:dyDescent="0.25">
      <c r="A105" s="1" t="s">
        <v>717</v>
      </c>
      <c r="B105">
        <v>3</v>
      </c>
      <c r="C105" t="s">
        <v>718</v>
      </c>
    </row>
    <row r="106" spans="1:3" x14ac:dyDescent="0.25">
      <c r="A106" s="1" t="s">
        <v>719</v>
      </c>
      <c r="B106">
        <v>8</v>
      </c>
      <c r="C106" t="s">
        <v>720</v>
      </c>
    </row>
    <row r="107" spans="1:3" x14ac:dyDescent="0.25">
      <c r="A107" s="1" t="s">
        <v>721</v>
      </c>
      <c r="B107">
        <v>0.5</v>
      </c>
      <c r="C107" t="s">
        <v>722</v>
      </c>
    </row>
    <row r="108" spans="1:3" x14ac:dyDescent="0.25">
      <c r="A108" s="1" t="s">
        <v>723</v>
      </c>
      <c r="B108">
        <v>3</v>
      </c>
      <c r="C108" t="s">
        <v>724</v>
      </c>
    </row>
    <row r="109" spans="1:3" x14ac:dyDescent="0.25">
      <c r="A109" s="1" t="s">
        <v>725</v>
      </c>
      <c r="B109">
        <v>2</v>
      </c>
      <c r="C109" t="s">
        <v>726</v>
      </c>
    </row>
    <row r="110" spans="1:3" x14ac:dyDescent="0.25">
      <c r="A110" s="1" t="s">
        <v>727</v>
      </c>
      <c r="B110">
        <v>8</v>
      </c>
      <c r="C110" t="s">
        <v>728</v>
      </c>
    </row>
    <row r="111" spans="1:3" x14ac:dyDescent="0.25">
      <c r="A111" s="1" t="s">
        <v>729</v>
      </c>
      <c r="B111">
        <v>0.25</v>
      </c>
      <c r="C111" t="s">
        <v>730</v>
      </c>
    </row>
    <row r="112" spans="1:3" x14ac:dyDescent="0.25">
      <c r="A112" s="1" t="s">
        <v>731</v>
      </c>
      <c r="B112">
        <v>4</v>
      </c>
      <c r="C112" t="s">
        <v>732</v>
      </c>
    </row>
    <row r="113" spans="1:3" x14ac:dyDescent="0.25">
      <c r="A113" s="1" t="s">
        <v>733</v>
      </c>
      <c r="B113">
        <v>30</v>
      </c>
      <c r="C113" t="s">
        <v>734</v>
      </c>
    </row>
    <row r="114" spans="1:3" x14ac:dyDescent="0.25">
      <c r="A114" s="1" t="s">
        <v>735</v>
      </c>
      <c r="B114">
        <v>0.25</v>
      </c>
      <c r="C114" t="s">
        <v>736</v>
      </c>
    </row>
    <row r="115" spans="1:3" x14ac:dyDescent="0.25">
      <c r="A115" s="1" t="s">
        <v>737</v>
      </c>
      <c r="B115">
        <v>4</v>
      </c>
      <c r="C115" t="s">
        <v>738</v>
      </c>
    </row>
    <row r="116" spans="1:3" x14ac:dyDescent="0.25">
      <c r="A116" s="1" t="s">
        <v>739</v>
      </c>
      <c r="B116">
        <v>0.35</v>
      </c>
      <c r="C116" t="s">
        <v>740</v>
      </c>
    </row>
    <row r="117" spans="1:3" x14ac:dyDescent="0.25">
      <c r="A117" s="1" t="s">
        <v>741</v>
      </c>
      <c r="B117">
        <v>0.3</v>
      </c>
      <c r="C117" t="s">
        <v>742</v>
      </c>
    </row>
    <row r="118" spans="1:3" x14ac:dyDescent="0.25">
      <c r="A118" s="1" t="s">
        <v>743</v>
      </c>
      <c r="B118">
        <v>1.1</v>
      </c>
      <c r="C118" t="s">
        <v>744</v>
      </c>
    </row>
    <row r="119" spans="1:3" x14ac:dyDescent="0.25">
      <c r="A119" s="1" t="s">
        <v>745</v>
      </c>
      <c r="B119">
        <v>1.5</v>
      </c>
      <c r="C119" t="s">
        <v>746</v>
      </c>
    </row>
    <row r="120" spans="1:3" x14ac:dyDescent="0.25">
      <c r="A120" s="1" t="s">
        <v>747</v>
      </c>
      <c r="B120">
        <v>1.25</v>
      </c>
      <c r="C120" t="s">
        <v>748</v>
      </c>
    </row>
    <row r="121" spans="1:3" x14ac:dyDescent="0.25">
      <c r="A121" s="1" t="s">
        <v>749</v>
      </c>
      <c r="B121">
        <v>1.3</v>
      </c>
      <c r="C121" t="s">
        <v>750</v>
      </c>
    </row>
    <row r="122" spans="1:3" x14ac:dyDescent="0.25">
      <c r="A122" s="1" t="s">
        <v>751</v>
      </c>
      <c r="B122">
        <v>0.5</v>
      </c>
      <c r="C122" t="s">
        <v>752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6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11" customWidth="1"/>
    <col min="3" max="3" width="95" customWidth="1"/>
  </cols>
  <sheetData>
    <row r="1" spans="1:3" x14ac:dyDescent="0.25">
      <c r="A1" s="2" t="s">
        <v>6</v>
      </c>
      <c r="B1" s="3" t="s">
        <v>509</v>
      </c>
      <c r="C1" s="3" t="s">
        <v>510</v>
      </c>
    </row>
    <row r="2" ht="78" customHeight="1" spans="1:3" x14ac:dyDescent="0.25">
      <c r="A2" s="4" t="s">
        <v>218</v>
      </c>
      <c r="B2" s="5" t="s">
        <v>511</v>
      </c>
      <c r="C2" s="5" t="s">
        <v>512</v>
      </c>
    </row>
    <row r="3" spans="1:3" x14ac:dyDescent="0.25">
      <c r="A3" s="1" t="s">
        <v>753</v>
      </c>
      <c r="B3">
        <v>0.6</v>
      </c>
      <c r="C3" t="s">
        <v>754</v>
      </c>
    </row>
    <row r="4" spans="1:3" x14ac:dyDescent="0.25">
      <c r="A4" s="1" t="s">
        <v>755</v>
      </c>
      <c r="B4">
        <v>0.35</v>
      </c>
      <c r="C4" t="s">
        <v>756</v>
      </c>
    </row>
    <row r="5" spans="1:3" x14ac:dyDescent="0.25">
      <c r="A5" s="1" t="s">
        <v>757</v>
      </c>
      <c r="B5">
        <v>0.5</v>
      </c>
      <c r="C5" t="s">
        <v>758</v>
      </c>
    </row>
    <row r="6" spans="1:3" x14ac:dyDescent="0.25">
      <c r="A6" s="1" t="s">
        <v>759</v>
      </c>
      <c r="B6">
        <v>2</v>
      </c>
      <c r="C6" t="s">
        <v>760</v>
      </c>
    </row>
    <row r="7" spans="1:3" x14ac:dyDescent="0.25">
      <c r="A7" s="1" t="s">
        <v>761</v>
      </c>
      <c r="B7">
        <v>3.2</v>
      </c>
      <c r="C7" t="s">
        <v>762</v>
      </c>
    </row>
    <row r="8" spans="1:3" x14ac:dyDescent="0.25">
      <c r="A8" s="1" t="s">
        <v>763</v>
      </c>
      <c r="B8">
        <v>2.5</v>
      </c>
      <c r="C8" t="s">
        <v>764</v>
      </c>
    </row>
    <row r="9" spans="1:3" x14ac:dyDescent="0.25">
      <c r="A9" s="1" t="s">
        <v>765</v>
      </c>
      <c r="B9">
        <v>0.6</v>
      </c>
      <c r="C9" t="s">
        <v>766</v>
      </c>
    </row>
    <row r="10" spans="1:3" x14ac:dyDescent="0.25">
      <c r="A10" s="1" t="s">
        <v>767</v>
      </c>
      <c r="B10">
        <v>1.62</v>
      </c>
      <c r="C10" t="s">
        <v>768</v>
      </c>
    </row>
    <row r="11" spans="1:3" x14ac:dyDescent="0.25">
      <c r="A11" s="1" t="s">
        <v>769</v>
      </c>
      <c r="B11">
        <v>180</v>
      </c>
      <c r="C11" t="s">
        <v>770</v>
      </c>
    </row>
    <row r="12" spans="1:3" x14ac:dyDescent="0.25">
      <c r="A12" s="1" t="s">
        <v>771</v>
      </c>
      <c r="B12">
        <v>0.78</v>
      </c>
      <c r="C12" t="s">
        <v>772</v>
      </c>
    </row>
    <row r="13" spans="1:3" x14ac:dyDescent="0.25">
      <c r="A13" s="1" t="s">
        <v>773</v>
      </c>
      <c r="B13">
        <v>200</v>
      </c>
      <c r="C13" t="s">
        <v>774</v>
      </c>
    </row>
    <row r="14" spans="1:3" x14ac:dyDescent="0.25">
      <c r="A14" s="1" t="s">
        <v>775</v>
      </c>
      <c r="B14">
        <v>18</v>
      </c>
      <c r="C14" t="s">
        <v>776</v>
      </c>
    </row>
    <row r="15" spans="1:3" x14ac:dyDescent="0.25">
      <c r="A15" s="1" t="s">
        <v>777</v>
      </c>
      <c r="B15">
        <v>3.6</v>
      </c>
      <c r="C15" t="s">
        <v>778</v>
      </c>
    </row>
    <row r="16" spans="1:3" x14ac:dyDescent="0.25">
      <c r="A16" s="1" t="s">
        <v>779</v>
      </c>
      <c r="B16">
        <v>100</v>
      </c>
      <c r="C16" t="s">
        <v>780</v>
      </c>
    </row>
    <row r="17" spans="1:3" x14ac:dyDescent="0.25">
      <c r="A17" s="1" t="s">
        <v>781</v>
      </c>
      <c r="B17">
        <v>60</v>
      </c>
      <c r="C17" t="s">
        <v>782</v>
      </c>
    </row>
    <row r="18" spans="1:3" x14ac:dyDescent="0.25">
      <c r="A18" s="1" t="s">
        <v>783</v>
      </c>
      <c r="B18">
        <v>1</v>
      </c>
      <c r="C18" t="s">
        <v>784</v>
      </c>
    </row>
    <row r="19" spans="1:3" x14ac:dyDescent="0.25">
      <c r="A19" s="1" t="s">
        <v>785</v>
      </c>
      <c r="B19">
        <v>16</v>
      </c>
      <c r="C19" t="s">
        <v>786</v>
      </c>
    </row>
    <row r="20" spans="1:3" x14ac:dyDescent="0.25">
      <c r="A20" s="1" t="s">
        <v>787</v>
      </c>
      <c r="B20">
        <v>52</v>
      </c>
      <c r="C20" t="s">
        <v>788</v>
      </c>
    </row>
    <row r="21" spans="1:3" x14ac:dyDescent="0.25">
      <c r="A21" s="1" t="s">
        <v>789</v>
      </c>
      <c r="B21">
        <v>72</v>
      </c>
      <c r="C21" t="s">
        <v>790</v>
      </c>
    </row>
    <row r="22" spans="1:3" x14ac:dyDescent="0.25">
      <c r="A22" s="1" t="s">
        <v>791</v>
      </c>
      <c r="B22">
        <v>1.6</v>
      </c>
      <c r="C22" t="s">
        <v>792</v>
      </c>
    </row>
    <row r="23" spans="1:3" x14ac:dyDescent="0.25">
      <c r="A23" s="1" t="s">
        <v>793</v>
      </c>
      <c r="B23">
        <v>100</v>
      </c>
      <c r="C23" t="s">
        <v>794</v>
      </c>
    </row>
    <row r="24" spans="1:3" x14ac:dyDescent="0.25">
      <c r="A24" s="1" t="s">
        <v>795</v>
      </c>
      <c r="B24">
        <v>50</v>
      </c>
      <c r="C24" t="s">
        <v>796</v>
      </c>
    </row>
    <row r="25" spans="1:3" x14ac:dyDescent="0.25">
      <c r="A25" s="1" t="s">
        <v>797</v>
      </c>
      <c r="B25">
        <v>26</v>
      </c>
      <c r="C25" t="s">
        <v>798</v>
      </c>
    </row>
    <row r="26" spans="1:3" x14ac:dyDescent="0.25">
      <c r="A26" s="1" t="s">
        <v>799</v>
      </c>
      <c r="B26">
        <v>10</v>
      </c>
      <c r="C26" t="s">
        <v>800</v>
      </c>
    </row>
    <row r="27" spans="1:3" x14ac:dyDescent="0.25">
      <c r="A27" s="1" t="s">
        <v>801</v>
      </c>
      <c r="B27">
        <v>12</v>
      </c>
      <c r="C27" t="s">
        <v>802</v>
      </c>
    </row>
    <row r="28" spans="1:3" x14ac:dyDescent="0.25">
      <c r="A28" s="1" t="s">
        <v>803</v>
      </c>
      <c r="B28">
        <v>0.6</v>
      </c>
      <c r="C28" t="s">
        <v>804</v>
      </c>
    </row>
    <row r="29" spans="1:3" x14ac:dyDescent="0.25">
      <c r="A29" s="1" t="s">
        <v>805</v>
      </c>
      <c r="B29">
        <v>150</v>
      </c>
      <c r="C29" t="s">
        <v>806</v>
      </c>
    </row>
    <row r="30" spans="1:3" x14ac:dyDescent="0.25">
      <c r="A30" s="1" t="s">
        <v>807</v>
      </c>
      <c r="B30">
        <v>6</v>
      </c>
      <c r="C30" t="s">
        <v>808</v>
      </c>
    </row>
    <row r="31" spans="1:3" x14ac:dyDescent="0.25">
      <c r="A31" s="1" t="s">
        <v>809</v>
      </c>
      <c r="B31">
        <v>60</v>
      </c>
      <c r="C31" t="s">
        <v>810</v>
      </c>
    </row>
    <row r="32" spans="1:3" x14ac:dyDescent="0.25">
      <c r="A32" s="1" t="s">
        <v>811</v>
      </c>
      <c r="B32">
        <v>4</v>
      </c>
      <c r="C32" t="s">
        <v>812</v>
      </c>
    </row>
    <row r="33" spans="1:3" x14ac:dyDescent="0.25">
      <c r="A33" s="1" t="s">
        <v>813</v>
      </c>
      <c r="B33">
        <v>1.2</v>
      </c>
      <c r="C33" t="s">
        <v>814</v>
      </c>
    </row>
    <row r="34" spans="1:3" x14ac:dyDescent="0.25">
      <c r="A34" s="1" t="s">
        <v>815</v>
      </c>
      <c r="B34">
        <v>90</v>
      </c>
      <c r="C34" t="s">
        <v>816</v>
      </c>
    </row>
    <row r="35" spans="1:3" x14ac:dyDescent="0.25">
      <c r="A35" s="1" t="s">
        <v>817</v>
      </c>
      <c r="B35">
        <v>0.5</v>
      </c>
      <c r="C35" t="s">
        <v>818</v>
      </c>
    </row>
    <row r="36" spans="1:3" x14ac:dyDescent="0.25">
      <c r="A36" s="1" t="s">
        <v>819</v>
      </c>
      <c r="B36">
        <v>45</v>
      </c>
      <c r="C36" t="s">
        <v>820</v>
      </c>
    </row>
    <row r="37" spans="1:3" x14ac:dyDescent="0.25">
      <c r="A37" s="1" t="s">
        <v>821</v>
      </c>
      <c r="B37">
        <v>35</v>
      </c>
      <c r="C37" t="s">
        <v>822</v>
      </c>
    </row>
    <row r="38" spans="1:3" x14ac:dyDescent="0.25">
      <c r="A38" s="1" t="s">
        <v>823</v>
      </c>
      <c r="B38">
        <v>16</v>
      </c>
      <c r="C38" t="s">
        <v>824</v>
      </c>
    </row>
    <row r="39" spans="1:3" x14ac:dyDescent="0.25">
      <c r="A39" s="1" t="s">
        <v>825</v>
      </c>
      <c r="B39">
        <v>12</v>
      </c>
      <c r="C39" t="s">
        <v>826</v>
      </c>
    </row>
    <row r="40" spans="1:3" x14ac:dyDescent="0.25">
      <c r="A40" s="1" t="s">
        <v>827</v>
      </c>
      <c r="B40">
        <v>22</v>
      </c>
      <c r="C40" t="s">
        <v>828</v>
      </c>
    </row>
    <row r="41" spans="1:3" x14ac:dyDescent="0.25">
      <c r="A41" s="1" t="s">
        <v>829</v>
      </c>
      <c r="B41">
        <v>60</v>
      </c>
      <c r="C41" t="s">
        <v>830</v>
      </c>
    </row>
    <row r="42" spans="1:3" x14ac:dyDescent="0.25">
      <c r="A42" s="1" t="s">
        <v>831</v>
      </c>
      <c r="B42">
        <v>45</v>
      </c>
      <c r="C42" t="s">
        <v>832</v>
      </c>
    </row>
    <row r="43" spans="1:3" x14ac:dyDescent="0.25">
      <c r="A43" s="1" t="s">
        <v>833</v>
      </c>
      <c r="B43">
        <v>26</v>
      </c>
      <c r="C43" t="s">
        <v>834</v>
      </c>
    </row>
    <row r="44" spans="1:3" x14ac:dyDescent="0.25">
      <c r="A44" s="1" t="s">
        <v>835</v>
      </c>
      <c r="B44">
        <v>30</v>
      </c>
      <c r="C44" t="s">
        <v>836</v>
      </c>
    </row>
    <row r="45" spans="1:3" x14ac:dyDescent="0.25">
      <c r="A45" s="1" t="s">
        <v>837</v>
      </c>
      <c r="B45">
        <v>8</v>
      </c>
      <c r="C45" t="s">
        <v>838</v>
      </c>
    </row>
    <row r="46" spans="1:3" x14ac:dyDescent="0.25">
      <c r="A46" s="1" t="s">
        <v>839</v>
      </c>
      <c r="B46">
        <v>7</v>
      </c>
      <c r="C46" t="s">
        <v>840</v>
      </c>
    </row>
    <row r="47" spans="1:3" x14ac:dyDescent="0.25">
      <c r="A47" s="1" t="s">
        <v>841</v>
      </c>
      <c r="B47">
        <v>20</v>
      </c>
      <c r="C47" t="s">
        <v>842</v>
      </c>
    </row>
    <row r="48" spans="1:3" x14ac:dyDescent="0.25">
      <c r="A48" s="1" t="s">
        <v>843</v>
      </c>
      <c r="B48">
        <v>95</v>
      </c>
      <c r="C48" t="s">
        <v>844</v>
      </c>
    </row>
    <row r="49" spans="1:3" x14ac:dyDescent="0.25">
      <c r="A49" s="1" t="s">
        <v>845</v>
      </c>
      <c r="B49">
        <v>50</v>
      </c>
      <c r="C49" t="s">
        <v>846</v>
      </c>
    </row>
    <row r="50" spans="1:3" x14ac:dyDescent="0.25">
      <c r="A50" s="1" t="s">
        <v>847</v>
      </c>
      <c r="B50">
        <v>200</v>
      </c>
      <c r="C50" t="s">
        <v>848</v>
      </c>
    </row>
    <row r="51" spans="1:3" x14ac:dyDescent="0.25">
      <c r="A51" s="1" t="s">
        <v>849</v>
      </c>
      <c r="B51">
        <v>400</v>
      </c>
      <c r="C51" t="s">
        <v>850</v>
      </c>
    </row>
    <row r="52" spans="1:3" x14ac:dyDescent="0.25">
      <c r="A52" s="1" t="s">
        <v>851</v>
      </c>
      <c r="B52">
        <v>600</v>
      </c>
      <c r="C52" t="s">
        <v>852</v>
      </c>
    </row>
    <row r="53" spans="1:3" x14ac:dyDescent="0.25">
      <c r="A53" s="1" t="s">
        <v>853</v>
      </c>
      <c r="B53">
        <v>120</v>
      </c>
      <c r="C53" t="s">
        <v>854</v>
      </c>
    </row>
    <row r="54" spans="1:3" x14ac:dyDescent="0.25">
      <c r="A54" s="1" t="s">
        <v>855</v>
      </c>
      <c r="B54">
        <v>600</v>
      </c>
      <c r="C54" t="s">
        <v>856</v>
      </c>
    </row>
    <row r="55" spans="1:3" x14ac:dyDescent="0.25">
      <c r="A55" s="1" t="s">
        <v>857</v>
      </c>
      <c r="B55">
        <v>100</v>
      </c>
      <c r="C55" t="s">
        <v>858</v>
      </c>
    </row>
    <row r="56" spans="1:3" x14ac:dyDescent="0.25">
      <c r="A56" s="1" t="s">
        <v>859</v>
      </c>
      <c r="B56">
        <v>460</v>
      </c>
      <c r="C56" t="s">
        <v>860</v>
      </c>
    </row>
    <row r="57" spans="1:3" x14ac:dyDescent="0.25">
      <c r="A57" s="1" t="s">
        <v>861</v>
      </c>
      <c r="B57">
        <v>2</v>
      </c>
      <c r="C57" t="s">
        <v>862</v>
      </c>
    </row>
    <row r="58" spans="1:3" x14ac:dyDescent="0.25">
      <c r="A58" s="1" t="s">
        <v>863</v>
      </c>
      <c r="B58">
        <v>2</v>
      </c>
      <c r="C58" t="s">
        <v>864</v>
      </c>
    </row>
    <row r="59" spans="1:3" x14ac:dyDescent="0.25">
      <c r="A59" s="1" t="s">
        <v>865</v>
      </c>
      <c r="B59">
        <v>2</v>
      </c>
      <c r="C59" t="s">
        <v>866</v>
      </c>
    </row>
    <row r="60" spans="1:3" x14ac:dyDescent="0.25">
      <c r="A60" s="1" t="s">
        <v>867</v>
      </c>
      <c r="B60">
        <v>0.6</v>
      </c>
      <c r="C60" t="s">
        <v>868</v>
      </c>
    </row>
    <row r="61" spans="1:3" x14ac:dyDescent="0.25">
      <c r="A61" s="1" t="s">
        <v>869</v>
      </c>
      <c r="B61">
        <v>3</v>
      </c>
      <c r="C61" t="s">
        <v>870</v>
      </c>
    </row>
    <row r="62" spans="1:3" x14ac:dyDescent="0.25">
      <c r="A62" s="1" t="s">
        <v>871</v>
      </c>
      <c r="B62">
        <v>5</v>
      </c>
      <c r="C62" t="s">
        <v>872</v>
      </c>
    </row>
    <row r="63" spans="1:3" x14ac:dyDescent="0.25">
      <c r="A63" s="1" t="s">
        <v>873</v>
      </c>
      <c r="B63">
        <v>350</v>
      </c>
      <c r="C63" t="s">
        <v>874</v>
      </c>
    </row>
    <row r="64" spans="1:3" x14ac:dyDescent="0.25">
      <c r="A64" s="1" t="s">
        <v>875</v>
      </c>
      <c r="B64">
        <v>40</v>
      </c>
      <c r="C64" t="s">
        <v>876</v>
      </c>
    </row>
    <row r="65" spans="1:3" x14ac:dyDescent="0.25">
      <c r="A65" s="1" t="s">
        <v>877</v>
      </c>
      <c r="B65">
        <v>8</v>
      </c>
      <c r="C65" t="s">
        <v>878</v>
      </c>
    </row>
    <row r="66" spans="1:3" x14ac:dyDescent="0.25">
      <c r="A66" s="1" t="s">
        <v>879</v>
      </c>
      <c r="B66">
        <v>0.35</v>
      </c>
      <c r="C66" t="s">
        <v>880</v>
      </c>
    </row>
    <row r="67" spans="1:3" x14ac:dyDescent="0.25">
      <c r="A67" s="1" t="s">
        <v>881</v>
      </c>
      <c r="B67">
        <v>0.035</v>
      </c>
      <c r="C67" t="s">
        <v>882</v>
      </c>
    </row>
    <row r="68" spans="1:3" x14ac:dyDescent="0.25">
      <c r="A68" s="1" t="s">
        <v>883</v>
      </c>
      <c r="B68">
        <v>0.006</v>
      </c>
      <c r="C68" t="s">
        <v>884</v>
      </c>
    </row>
    <row r="69" spans="1:3" x14ac:dyDescent="0.25">
      <c r="A69" s="1" t="s">
        <v>885</v>
      </c>
      <c r="B69">
        <v>30</v>
      </c>
      <c r="C69" t="s">
        <v>886</v>
      </c>
    </row>
    <row r="70" spans="1:3" x14ac:dyDescent="0.25">
      <c r="A70" s="1" t="s">
        <v>887</v>
      </c>
      <c r="B70">
        <v>40</v>
      </c>
      <c r="C70" t="s">
        <v>888</v>
      </c>
    </row>
    <row r="71" spans="1:3" x14ac:dyDescent="0.25">
      <c r="A71" s="1" t="s">
        <v>889</v>
      </c>
      <c r="B71">
        <v>5</v>
      </c>
      <c r="C71" t="s">
        <v>890</v>
      </c>
    </row>
    <row r="72" spans="1:3" x14ac:dyDescent="0.25">
      <c r="A72" s="1" t="s">
        <v>891</v>
      </c>
      <c r="B72">
        <v>4</v>
      </c>
      <c r="C72" t="s">
        <v>892</v>
      </c>
    </row>
    <row r="73" spans="1:3" x14ac:dyDescent="0.25">
      <c r="A73" s="1" t="s">
        <v>893</v>
      </c>
      <c r="B73">
        <v>2.5</v>
      </c>
      <c r="C73" t="s">
        <v>894</v>
      </c>
    </row>
    <row r="74" spans="1:3" x14ac:dyDescent="0.25">
      <c r="A74" s="1" t="s">
        <v>895</v>
      </c>
      <c r="B74">
        <v>0.36</v>
      </c>
      <c r="C74" t="s">
        <v>896</v>
      </c>
    </row>
    <row r="75" spans="1:3" x14ac:dyDescent="0.25">
      <c r="A75" s="1" t="s">
        <v>897</v>
      </c>
      <c r="B75">
        <v>25</v>
      </c>
      <c r="C75" t="s">
        <v>898</v>
      </c>
    </row>
    <row r="76" spans="1:3" x14ac:dyDescent="0.25">
      <c r="A76" s="1" t="s">
        <v>899</v>
      </c>
      <c r="B76">
        <v>20</v>
      </c>
      <c r="C76" t="s">
        <v>900</v>
      </c>
    </row>
    <row r="77" spans="1:3" x14ac:dyDescent="0.25">
      <c r="A77" s="1" t="s">
        <v>901</v>
      </c>
      <c r="B77">
        <v>25</v>
      </c>
      <c r="C77" t="s">
        <v>902</v>
      </c>
    </row>
    <row r="78" spans="1:3" x14ac:dyDescent="0.25">
      <c r="A78" s="1" t="s">
        <v>903</v>
      </c>
      <c r="B78">
        <v>0.3</v>
      </c>
      <c r="C78" t="s">
        <v>904</v>
      </c>
    </row>
    <row r="79" spans="1:3" x14ac:dyDescent="0.25">
      <c r="A79" s="1" t="s">
        <v>905</v>
      </c>
      <c r="B79">
        <v>1.5</v>
      </c>
      <c r="C79" t="s">
        <v>906</v>
      </c>
    </row>
    <row r="80" spans="1:3" x14ac:dyDescent="0.25">
      <c r="A80" s="1" t="s">
        <v>907</v>
      </c>
      <c r="B80">
        <v>60</v>
      </c>
      <c r="C80" t="s">
        <v>908</v>
      </c>
    </row>
    <row r="81" spans="1:3" x14ac:dyDescent="0.25">
      <c r="A81" s="1" t="s">
        <v>909</v>
      </c>
      <c r="B81">
        <v>300</v>
      </c>
      <c r="C81" t="s">
        <v>910</v>
      </c>
    </row>
    <row r="82" spans="1:3" x14ac:dyDescent="0.25">
      <c r="A82" s="1" t="s">
        <v>911</v>
      </c>
      <c r="B82">
        <v>0.25</v>
      </c>
      <c r="C82" t="s">
        <v>912</v>
      </c>
    </row>
    <row r="83" spans="1:3" x14ac:dyDescent="0.25">
      <c r="A83" s="1" t="s">
        <v>913</v>
      </c>
      <c r="B83">
        <v>0.5</v>
      </c>
      <c r="C83" t="s">
        <v>914</v>
      </c>
    </row>
    <row r="84" spans="1:3" x14ac:dyDescent="0.25">
      <c r="A84" s="1" t="s">
        <v>915</v>
      </c>
      <c r="B84">
        <v>0.7</v>
      </c>
      <c r="C84" t="s">
        <v>916</v>
      </c>
    </row>
    <row r="85" spans="1:3" x14ac:dyDescent="0.25">
      <c r="A85" s="1" t="s">
        <v>917</v>
      </c>
      <c r="B85">
        <v>0.8</v>
      </c>
      <c r="C85" t="s">
        <v>918</v>
      </c>
    </row>
    <row r="86" spans="1:3" x14ac:dyDescent="0.25">
      <c r="A86" s="1" t="s">
        <v>919</v>
      </c>
      <c r="B86">
        <v>0.4</v>
      </c>
      <c r="C86" t="s">
        <v>920</v>
      </c>
    </row>
    <row r="87" spans="1:3" x14ac:dyDescent="0.25">
      <c r="A87" s="1" t="s">
        <v>921</v>
      </c>
      <c r="B87">
        <v>60</v>
      </c>
      <c r="C87" t="s">
        <v>922</v>
      </c>
    </row>
    <row r="88" spans="1:3" x14ac:dyDescent="0.25">
      <c r="A88" s="1" t="s">
        <v>923</v>
      </c>
      <c r="B88">
        <v>20</v>
      </c>
      <c r="C88" t="s">
        <v>924</v>
      </c>
    </row>
    <row r="89" spans="1:3" x14ac:dyDescent="0.25">
      <c r="A89" s="1" t="s">
        <v>925</v>
      </c>
      <c r="B89">
        <v>1.4</v>
      </c>
      <c r="C89" t="s">
        <v>926</v>
      </c>
    </row>
    <row r="90" spans="1:3" x14ac:dyDescent="0.25">
      <c r="A90" s="1" t="s">
        <v>927</v>
      </c>
      <c r="B90">
        <v>10</v>
      </c>
      <c r="C90" t="s">
        <v>928</v>
      </c>
    </row>
    <row r="91" spans="1:3" x14ac:dyDescent="0.25">
      <c r="A91" s="1" t="s">
        <v>929</v>
      </c>
      <c r="B91">
        <v>0.12</v>
      </c>
      <c r="C91" t="s">
        <v>930</v>
      </c>
    </row>
    <row r="92" spans="1:3" x14ac:dyDescent="0.25">
      <c r="A92" s="1" t="s">
        <v>931</v>
      </c>
      <c r="B92">
        <v>3.5</v>
      </c>
      <c r="C92" t="s">
        <v>932</v>
      </c>
    </row>
    <row r="93" spans="1:3" x14ac:dyDescent="0.25">
      <c r="A93" s="1" t="s">
        <v>933</v>
      </c>
      <c r="B93">
        <v>30</v>
      </c>
      <c r="C93" t="s">
        <v>934</v>
      </c>
    </row>
    <row r="94" spans="1:3" x14ac:dyDescent="0.25">
      <c r="A94" s="1" t="s">
        <v>935</v>
      </c>
      <c r="B94">
        <v>25</v>
      </c>
      <c r="C94" t="s">
        <v>936</v>
      </c>
    </row>
    <row r="95" spans="1:3" x14ac:dyDescent="0.25">
      <c r="A95" s="1" t="s">
        <v>937</v>
      </c>
      <c r="B95">
        <v>3</v>
      </c>
      <c r="C95" t="s">
        <v>938</v>
      </c>
    </row>
    <row r="96" spans="1:3" x14ac:dyDescent="0.25">
      <c r="A96" s="1" t="s">
        <v>939</v>
      </c>
      <c r="B96">
        <v>0.1</v>
      </c>
      <c r="C96" t="s">
        <v>940</v>
      </c>
    </row>
    <row r="97" spans="1:3" x14ac:dyDescent="0.25">
      <c r="A97" s="1" t="s">
        <v>941</v>
      </c>
      <c r="B97">
        <v>18</v>
      </c>
      <c r="C97" t="s">
        <v>942</v>
      </c>
    </row>
    <row r="98" spans="1:3" x14ac:dyDescent="0.25">
      <c r="A98" s="1" t="s">
        <v>943</v>
      </c>
      <c r="B98">
        <v>0.4</v>
      </c>
      <c r="C98" t="s">
        <v>944</v>
      </c>
    </row>
    <row r="99" spans="1:3" x14ac:dyDescent="0.25">
      <c r="A99" s="1" t="s">
        <v>945</v>
      </c>
      <c r="B99">
        <v>14</v>
      </c>
      <c r="C99" t="s">
        <v>946</v>
      </c>
    </row>
    <row r="100" spans="1:3" x14ac:dyDescent="0.25">
      <c r="A100" s="1" t="s">
        <v>947</v>
      </c>
      <c r="B100">
        <v>2</v>
      </c>
      <c r="C100" t="s">
        <v>948</v>
      </c>
    </row>
    <row r="101" spans="1:3" x14ac:dyDescent="0.25">
      <c r="A101" s="1" t="s">
        <v>949</v>
      </c>
      <c r="B101">
        <v>25</v>
      </c>
      <c r="C101" t="s">
        <v>950</v>
      </c>
    </row>
    <row r="102" spans="1:3" x14ac:dyDescent="0.25">
      <c r="A102" s="1" t="s">
        <v>951</v>
      </c>
      <c r="B102">
        <v>3</v>
      </c>
      <c r="C102" t="s">
        <v>952</v>
      </c>
    </row>
    <row r="103" spans="1:3" x14ac:dyDescent="0.25">
      <c r="A103" s="1" t="s">
        <v>953</v>
      </c>
      <c r="B103">
        <v>22</v>
      </c>
      <c r="C103" t="s">
        <v>954</v>
      </c>
    </row>
    <row r="104" spans="1:3" x14ac:dyDescent="0.25">
      <c r="A104" s="1" t="s">
        <v>955</v>
      </c>
      <c r="B104">
        <v>4</v>
      </c>
      <c r="C104" t="s">
        <v>956</v>
      </c>
    </row>
    <row r="105" spans="1:3" x14ac:dyDescent="0.25">
      <c r="A105" s="1" t="s">
        <v>957</v>
      </c>
      <c r="B105">
        <v>1.35</v>
      </c>
      <c r="C105" t="s">
        <v>958</v>
      </c>
    </row>
    <row r="106" spans="1:3" x14ac:dyDescent="0.25">
      <c r="A106" s="1" t="s">
        <v>959</v>
      </c>
      <c r="B106">
        <v>1.6</v>
      </c>
      <c r="C106" t="s">
        <v>960</v>
      </c>
    </row>
    <row r="107" spans="1:3" x14ac:dyDescent="0.25">
      <c r="A107" s="1" t="s">
        <v>961</v>
      </c>
      <c r="B107">
        <v>0.08</v>
      </c>
      <c r="C107" t="s">
        <v>962</v>
      </c>
    </row>
    <row r="108" spans="1:3" x14ac:dyDescent="0.25">
      <c r="A108" s="1" t="s">
        <v>963</v>
      </c>
      <c r="B108">
        <v>0.15</v>
      </c>
      <c r="C108" t="s">
        <v>964</v>
      </c>
    </row>
    <row r="109" spans="1:3" x14ac:dyDescent="0.25">
      <c r="A109" s="1" t="s">
        <v>965</v>
      </c>
      <c r="B109">
        <v>0.4</v>
      </c>
      <c r="C109" t="s">
        <v>966</v>
      </c>
    </row>
    <row r="110" spans="1:3" x14ac:dyDescent="0.25">
      <c r="A110" s="1" t="s">
        <v>967</v>
      </c>
      <c r="B110">
        <v>40</v>
      </c>
      <c r="C110" t="s">
        <v>968</v>
      </c>
    </row>
    <row r="111" spans="1:3" x14ac:dyDescent="0.25">
      <c r="A111" s="1" t="s">
        <v>969</v>
      </c>
      <c r="B111">
        <v>1.55</v>
      </c>
      <c r="C111" t="s">
        <v>970</v>
      </c>
    </row>
    <row r="112" spans="1:3" x14ac:dyDescent="0.25">
      <c r="A112" s="1" t="s">
        <v>971</v>
      </c>
      <c r="B112">
        <v>1.8</v>
      </c>
      <c r="C112" t="s">
        <v>972</v>
      </c>
    </row>
    <row r="113" spans="1:3" x14ac:dyDescent="0.25">
      <c r="A113" s="1" t="s">
        <v>973</v>
      </c>
      <c r="B113">
        <v>3</v>
      </c>
      <c r="C113" t="s">
        <v>974</v>
      </c>
    </row>
    <row r="114" spans="1:3" x14ac:dyDescent="0.25">
      <c r="A114" s="1" t="s">
        <v>975</v>
      </c>
      <c r="B114">
        <v>1.3</v>
      </c>
      <c r="C114" t="s">
        <v>976</v>
      </c>
    </row>
    <row r="115" spans="1:3" x14ac:dyDescent="0.25">
      <c r="A115" s="1" t="s">
        <v>977</v>
      </c>
      <c r="B115">
        <v>1.4</v>
      </c>
      <c r="C115" t="s">
        <v>978</v>
      </c>
    </row>
    <row r="116" spans="1:3" x14ac:dyDescent="0.25">
      <c r="A116" s="1" t="s">
        <v>979</v>
      </c>
      <c r="B116">
        <v>5</v>
      </c>
      <c r="C116" t="s">
        <v>980</v>
      </c>
    </row>
    <row r="117" spans="1:3" x14ac:dyDescent="0.25">
      <c r="A117" s="1" t="s">
        <v>981</v>
      </c>
      <c r="B117">
        <v>0.3</v>
      </c>
      <c r="C117" t="s">
        <v>982</v>
      </c>
    </row>
    <row r="118" spans="1:3" x14ac:dyDescent="0.25">
      <c r="A118" s="1" t="s">
        <v>983</v>
      </c>
      <c r="B118">
        <v>1.3</v>
      </c>
      <c r="C118" t="s">
        <v>984</v>
      </c>
    </row>
    <row r="119" spans="1:3" x14ac:dyDescent="0.25">
      <c r="A119" s="1" t="s">
        <v>985</v>
      </c>
      <c r="B119">
        <v>1.6</v>
      </c>
      <c r="C119" t="s">
        <v>986</v>
      </c>
    </row>
    <row r="120" spans="1:3" x14ac:dyDescent="0.25">
      <c r="A120" s="1" t="s">
        <v>987</v>
      </c>
      <c r="B120">
        <v>1.8</v>
      </c>
      <c r="C120" t="s">
        <v>988</v>
      </c>
    </row>
    <row r="121" spans="1:3" x14ac:dyDescent="0.25">
      <c r="A121" s="1" t="s">
        <v>989</v>
      </c>
      <c r="B121">
        <v>0.9</v>
      </c>
      <c r="C121" t="s">
        <v>990</v>
      </c>
    </row>
    <row r="122" spans="1:3" x14ac:dyDescent="0.25">
      <c r="A122" s="1" t="s">
        <v>991</v>
      </c>
      <c r="B122">
        <v>1.5</v>
      </c>
      <c r="C122" t="s">
        <v>992</v>
      </c>
    </row>
    <row r="123" spans="1:3" x14ac:dyDescent="0.25">
      <c r="A123" s="1" t="s">
        <v>993</v>
      </c>
      <c r="B123">
        <v>0.5</v>
      </c>
      <c r="C123" t="s">
        <v>994</v>
      </c>
    </row>
    <row r="124" spans="1:3" x14ac:dyDescent="0.25">
      <c r="A124" s="1" t="s">
        <v>995</v>
      </c>
      <c r="B124">
        <v>9</v>
      </c>
      <c r="C124" t="s">
        <v>996</v>
      </c>
    </row>
    <row r="125" spans="1:3" x14ac:dyDescent="0.25">
      <c r="A125" s="1" t="s">
        <v>997</v>
      </c>
      <c r="B125">
        <v>150</v>
      </c>
      <c r="C125" t="s">
        <v>998</v>
      </c>
    </row>
    <row r="126" spans="1:3" x14ac:dyDescent="0.25">
      <c r="A126" s="1" t="s">
        <v>999</v>
      </c>
      <c r="B126">
        <v>0.4</v>
      </c>
      <c r="C126" t="s">
        <v>1000</v>
      </c>
    </row>
    <row r="127" spans="1:3" x14ac:dyDescent="0.25">
      <c r="A127" s="1" t="s">
        <v>1001</v>
      </c>
      <c r="B127">
        <v>0.8</v>
      </c>
      <c r="C127" t="s">
        <v>1002</v>
      </c>
    </row>
    <row r="128" spans="1:3" x14ac:dyDescent="0.25">
      <c r="A128" s="1" t="s">
        <v>1003</v>
      </c>
      <c r="B128">
        <v>0.6</v>
      </c>
      <c r="C128" t="s">
        <v>1004</v>
      </c>
    </row>
    <row r="129" spans="1:3" x14ac:dyDescent="0.25">
      <c r="A129" s="1" t="s">
        <v>1005</v>
      </c>
      <c r="B129">
        <v>14</v>
      </c>
      <c r="C129" t="s">
        <v>1006</v>
      </c>
    </row>
    <row r="130" spans="1:3" x14ac:dyDescent="0.25">
      <c r="A130" s="1" t="s">
        <v>1007</v>
      </c>
      <c r="B130">
        <v>2.9</v>
      </c>
      <c r="C130" t="s">
        <v>1008</v>
      </c>
    </row>
    <row r="131" spans="1:3" x14ac:dyDescent="0.25">
      <c r="A131" s="1" t="s">
        <v>1009</v>
      </c>
      <c r="B131">
        <v>6.8</v>
      </c>
      <c r="C131" t="s">
        <v>1010</v>
      </c>
    </row>
    <row r="132" spans="1:3" x14ac:dyDescent="0.25">
      <c r="A132" s="1" t="s">
        <v>1011</v>
      </c>
      <c r="B132">
        <v>0.14</v>
      </c>
      <c r="C132" t="s">
        <v>1012</v>
      </c>
    </row>
    <row r="133" spans="1:3" x14ac:dyDescent="0.25">
      <c r="A133" s="1" t="s">
        <v>1013</v>
      </c>
      <c r="B133">
        <v>1.58</v>
      </c>
      <c r="C133" t="s">
        <v>1014</v>
      </c>
    </row>
    <row r="134" spans="1:3" x14ac:dyDescent="0.25">
      <c r="A134" s="1" t="s">
        <v>1015</v>
      </c>
      <c r="B134">
        <v>6</v>
      </c>
      <c r="C134" t="s">
        <v>1016</v>
      </c>
    </row>
    <row r="135" spans="1:3" x14ac:dyDescent="0.25">
      <c r="A135" s="1" t="s">
        <v>1017</v>
      </c>
      <c r="B135">
        <v>180</v>
      </c>
      <c r="C135" t="s">
        <v>1018</v>
      </c>
    </row>
    <row r="136" spans="1:3" x14ac:dyDescent="0.25">
      <c r="A136" s="1" t="s">
        <v>1019</v>
      </c>
      <c r="B136">
        <v>60</v>
      </c>
      <c r="C136" t="s">
        <v>1020</v>
      </c>
    </row>
    <row r="137" spans="1:3" x14ac:dyDescent="0.25">
      <c r="A137" s="1" t="s">
        <v>1021</v>
      </c>
      <c r="B137">
        <v>3</v>
      </c>
      <c r="C137" t="s">
        <v>1022</v>
      </c>
    </row>
    <row r="138" spans="1:3" x14ac:dyDescent="0.25">
      <c r="A138" s="1" t="s">
        <v>1023</v>
      </c>
      <c r="B138">
        <v>20</v>
      </c>
      <c r="C138" t="s">
        <v>1024</v>
      </c>
    </row>
    <row r="139" spans="1:3" x14ac:dyDescent="0.25">
      <c r="A139" s="1" t="s">
        <v>1025</v>
      </c>
      <c r="B139">
        <v>0.6</v>
      </c>
      <c r="C139" t="s">
        <v>1026</v>
      </c>
    </row>
    <row r="140" spans="1:3" x14ac:dyDescent="0.25">
      <c r="A140" s="1" t="s">
        <v>1027</v>
      </c>
      <c r="B140">
        <v>3</v>
      </c>
      <c r="C140" t="s">
        <v>1028</v>
      </c>
    </row>
    <row r="141" spans="1:3" x14ac:dyDescent="0.25">
      <c r="A141" s="1" t="s">
        <v>1029</v>
      </c>
      <c r="B141">
        <v>15</v>
      </c>
      <c r="C141" t="s">
        <v>1030</v>
      </c>
    </row>
    <row r="142" spans="1:3" x14ac:dyDescent="0.25">
      <c r="A142" s="1" t="s">
        <v>1031</v>
      </c>
      <c r="B142">
        <v>1.6</v>
      </c>
      <c r="C142" t="s">
        <v>1032</v>
      </c>
    </row>
    <row r="143" spans="1:3" x14ac:dyDescent="0.25">
      <c r="A143" s="1" t="s">
        <v>1033</v>
      </c>
      <c r="B143">
        <v>12</v>
      </c>
      <c r="C143" t="s">
        <v>1034</v>
      </c>
    </row>
    <row r="144" spans="1:3" x14ac:dyDescent="0.25">
      <c r="A144" s="1" t="s">
        <v>1035</v>
      </c>
      <c r="B144">
        <v>0.88</v>
      </c>
      <c r="C144" t="s">
        <v>1036</v>
      </c>
    </row>
    <row r="145" spans="1:3" x14ac:dyDescent="0.25">
      <c r="A145" s="1" t="s">
        <v>1037</v>
      </c>
      <c r="B145">
        <v>30</v>
      </c>
      <c r="C145" t="s">
        <v>1038</v>
      </c>
    </row>
    <row r="146" spans="1:3" x14ac:dyDescent="0.25">
      <c r="A146" s="1" t="s">
        <v>1039</v>
      </c>
      <c r="B146">
        <v>0.14</v>
      </c>
      <c r="C146" t="s">
        <v>1040</v>
      </c>
    </row>
    <row r="147" spans="1:3" x14ac:dyDescent="0.25">
      <c r="A147" s="1" t="s">
        <v>1041</v>
      </c>
      <c r="B147">
        <v>0.2</v>
      </c>
      <c r="C147" t="s">
        <v>1042</v>
      </c>
    </row>
    <row r="148" spans="1:3" x14ac:dyDescent="0.25">
      <c r="A148" s="1" t="s">
        <v>1043</v>
      </c>
      <c r="B148">
        <v>0.35</v>
      </c>
      <c r="C148" t="s">
        <v>1044</v>
      </c>
    </row>
    <row r="149" spans="1:3" x14ac:dyDescent="0.25">
      <c r="A149" s="1" t="s">
        <v>1045</v>
      </c>
      <c r="B149">
        <v>2</v>
      </c>
      <c r="C149" t="s">
        <v>1046</v>
      </c>
    </row>
    <row r="150" spans="1:3" x14ac:dyDescent="0.25">
      <c r="A150" s="1" t="s">
        <v>1047</v>
      </c>
      <c r="B150">
        <v>0.2</v>
      </c>
      <c r="C150" t="s">
        <v>1048</v>
      </c>
    </row>
    <row r="151" spans="1:3" x14ac:dyDescent="0.25">
      <c r="A151" s="1" t="s">
        <v>1049</v>
      </c>
      <c r="B151">
        <v>0.1</v>
      </c>
      <c r="C151" t="s">
        <v>1050</v>
      </c>
    </row>
    <row r="152" spans="1:3" x14ac:dyDescent="0.25">
      <c r="A152" s="1" t="s">
        <v>1051</v>
      </c>
      <c r="B152">
        <v>0.9</v>
      </c>
      <c r="C152" t="s">
        <v>1052</v>
      </c>
    </row>
    <row r="153" spans="1:3" x14ac:dyDescent="0.25">
      <c r="A153" s="1" t="s">
        <v>1053</v>
      </c>
      <c r="B153">
        <v>10.4</v>
      </c>
      <c r="C153" t="s">
        <v>1054</v>
      </c>
    </row>
    <row r="154" spans="1:3" x14ac:dyDescent="0.25">
      <c r="A154" s="1" t="s">
        <v>1055</v>
      </c>
      <c r="B154">
        <v>0.42</v>
      </c>
      <c r="C154" t="s">
        <v>1056</v>
      </c>
    </row>
    <row r="155" spans="1:3" x14ac:dyDescent="0.25">
      <c r="A155" s="1" t="s">
        <v>1057</v>
      </c>
      <c r="B155">
        <v>0.1</v>
      </c>
      <c r="C155" t="s">
        <v>1058</v>
      </c>
    </row>
    <row r="156" spans="1:3" x14ac:dyDescent="0.25">
      <c r="A156" s="1" t="s">
        <v>1059</v>
      </c>
      <c r="B156">
        <v>1.5</v>
      </c>
      <c r="C156" t="s">
        <v>1060</v>
      </c>
    </row>
    <row r="157" spans="1:3" x14ac:dyDescent="0.25">
      <c r="A157" s="1" t="s">
        <v>1061</v>
      </c>
      <c r="B157">
        <v>8</v>
      </c>
      <c r="C157" t="s">
        <v>1062</v>
      </c>
    </row>
    <row r="158" spans="1:3" x14ac:dyDescent="0.25">
      <c r="A158" s="1" t="s">
        <v>1063</v>
      </c>
      <c r="B158">
        <v>0.1</v>
      </c>
      <c r="C158" t="s">
        <v>1064</v>
      </c>
    </row>
    <row r="159" spans="1:3" x14ac:dyDescent="0.25">
      <c r="A159" s="1" t="s">
        <v>1065</v>
      </c>
      <c r="B159">
        <v>100</v>
      </c>
      <c r="C159" t="s">
        <v>1066</v>
      </c>
    </row>
    <row r="160" spans="1:3" x14ac:dyDescent="0.25">
      <c r="A160" s="1" t="s">
        <v>1067</v>
      </c>
      <c r="B160">
        <v>110</v>
      </c>
      <c r="C160" t="s">
        <v>1068</v>
      </c>
    </row>
    <row r="161" spans="1:3" x14ac:dyDescent="0.25">
      <c r="A161" s="1" t="s">
        <v>1069</v>
      </c>
      <c r="B161">
        <v>140</v>
      </c>
      <c r="C161" t="s">
        <v>1070</v>
      </c>
    </row>
    <row r="162" spans="1:3" x14ac:dyDescent="0.25">
      <c r="A162" s="1" t="s">
        <v>1071</v>
      </c>
      <c r="B162">
        <v>22</v>
      </c>
      <c r="C162" t="s">
        <v>1072</v>
      </c>
    </row>
    <row r="163" spans="1:3" x14ac:dyDescent="0.25">
      <c r="A163" s="1" t="s">
        <v>1073</v>
      </c>
      <c r="B163">
        <v>1</v>
      </c>
      <c r="C163" t="s">
        <v>1074</v>
      </c>
    </row>
    <row r="164" spans="1:3" x14ac:dyDescent="0.25">
      <c r="A164" s="1" t="s">
        <v>1075</v>
      </c>
      <c r="B164">
        <v>0.25</v>
      </c>
      <c r="C164" t="s">
        <v>1076</v>
      </c>
    </row>
    <row r="165" spans="1:3" x14ac:dyDescent="0.25">
      <c r="A165" s="1" t="s">
        <v>1077</v>
      </c>
      <c r="B165">
        <v>2.2</v>
      </c>
      <c r="C165" t="s">
        <v>1078</v>
      </c>
    </row>
    <row r="166" spans="1:3" x14ac:dyDescent="0.25">
      <c r="A166" s="1" t="s">
        <v>1079</v>
      </c>
      <c r="B166">
        <v>1.5</v>
      </c>
      <c r="C166" t="s">
        <v>1080</v>
      </c>
    </row>
    <row r="167" spans="1:3" x14ac:dyDescent="0.25">
      <c r="A167" s="1" t="s">
        <v>1081</v>
      </c>
      <c r="B167">
        <v>4.5</v>
      </c>
      <c r="C167" t="s">
        <v>1082</v>
      </c>
    </row>
    <row r="168" spans="1:3" x14ac:dyDescent="0.25">
      <c r="A168" s="1" t="s">
        <v>1083</v>
      </c>
      <c r="B168">
        <v>22</v>
      </c>
      <c r="C168" t="s">
        <v>1084</v>
      </c>
    </row>
    <row r="169" spans="1:3" x14ac:dyDescent="0.25">
      <c r="A169" s="1" t="s">
        <v>1085</v>
      </c>
      <c r="B169">
        <v>90</v>
      </c>
      <c r="C169" t="s">
        <v>1086</v>
      </c>
    </row>
    <row r="170" spans="1:3" x14ac:dyDescent="0.25">
      <c r="A170" s="1" t="s">
        <v>1087</v>
      </c>
      <c r="B170">
        <v>3.4</v>
      </c>
      <c r="C170" t="s">
        <v>1088</v>
      </c>
    </row>
    <row r="171" spans="1:3" x14ac:dyDescent="0.25">
      <c r="A171" s="1" t="s">
        <v>1089</v>
      </c>
      <c r="B171">
        <v>1</v>
      </c>
      <c r="C171" t="s">
        <v>1090</v>
      </c>
    </row>
    <row r="172" spans="1:3" x14ac:dyDescent="0.25">
      <c r="A172" s="1" t="s">
        <v>1091</v>
      </c>
      <c r="B172">
        <v>12</v>
      </c>
      <c r="C172" t="s">
        <v>1092</v>
      </c>
    </row>
    <row r="173" spans="1:3" x14ac:dyDescent="0.25">
      <c r="A173" s="1" t="s">
        <v>1093</v>
      </c>
      <c r="B173">
        <v>3</v>
      </c>
      <c r="C173" t="s">
        <v>1094</v>
      </c>
    </row>
    <row r="174" spans="1:3" x14ac:dyDescent="0.25">
      <c r="A174" s="1" t="s">
        <v>1095</v>
      </c>
      <c r="B174">
        <v>70</v>
      </c>
      <c r="C174" t="s">
        <v>1096</v>
      </c>
    </row>
    <row r="175" spans="1:3" x14ac:dyDescent="0.25">
      <c r="A175" s="1" t="s">
        <v>1097</v>
      </c>
      <c r="B175">
        <v>140</v>
      </c>
      <c r="C175" t="s">
        <v>1098</v>
      </c>
    </row>
    <row r="176" spans="1:3" x14ac:dyDescent="0.25">
      <c r="A176" s="1" t="s">
        <v>1099</v>
      </c>
      <c r="B176">
        <v>5</v>
      </c>
      <c r="C176" t="s">
        <v>1100</v>
      </c>
    </row>
    <row r="177" spans="1:3" x14ac:dyDescent="0.25">
      <c r="A177" s="1" t="s">
        <v>1101</v>
      </c>
      <c r="B177">
        <v>12</v>
      </c>
      <c r="C177" t="s">
        <v>1102</v>
      </c>
    </row>
    <row r="178" spans="1:3" x14ac:dyDescent="0.25">
      <c r="A178" s="1" t="s">
        <v>1103</v>
      </c>
      <c r="B178">
        <v>9</v>
      </c>
      <c r="C178" t="s">
        <v>1104</v>
      </c>
    </row>
    <row r="179" spans="1:3" x14ac:dyDescent="0.25">
      <c r="A179" s="1" t="s">
        <v>1105</v>
      </c>
      <c r="B179">
        <v>14</v>
      </c>
      <c r="C179" t="s">
        <v>1106</v>
      </c>
    </row>
    <row r="180" spans="1:3" x14ac:dyDescent="0.25">
      <c r="A180" s="1" t="s">
        <v>1107</v>
      </c>
      <c r="B180">
        <v>16</v>
      </c>
      <c r="C180" t="s">
        <v>1108</v>
      </c>
    </row>
    <row r="181" spans="1:3" x14ac:dyDescent="0.25">
      <c r="A181" s="1" t="s">
        <v>1109</v>
      </c>
      <c r="B181">
        <v>45</v>
      </c>
      <c r="C181" t="s">
        <v>1110</v>
      </c>
    </row>
    <row r="182" spans="1:3" x14ac:dyDescent="0.25">
      <c r="A182" s="1" t="s">
        <v>1111</v>
      </c>
      <c r="B182">
        <v>16</v>
      </c>
      <c r="C182" t="s">
        <v>1112</v>
      </c>
    </row>
    <row r="183" spans="1:3" x14ac:dyDescent="0.25">
      <c r="A183" s="1" t="s">
        <v>1113</v>
      </c>
      <c r="B183">
        <v>0.15</v>
      </c>
      <c r="C183" t="s">
        <v>1114</v>
      </c>
    </row>
    <row r="184" spans="1:3" x14ac:dyDescent="0.25">
      <c r="A184" s="1" t="s">
        <v>1115</v>
      </c>
      <c r="B184">
        <v>1.2</v>
      </c>
      <c r="C184" t="s">
        <v>1116</v>
      </c>
    </row>
    <row r="185" spans="1:3" x14ac:dyDescent="0.25">
      <c r="A185" s="1" t="s">
        <v>1117</v>
      </c>
      <c r="B185">
        <v>3.5</v>
      </c>
      <c r="C185" t="s">
        <v>1118</v>
      </c>
    </row>
    <row r="186" spans="1:3" x14ac:dyDescent="0.25">
      <c r="A186" s="1" t="s">
        <v>1119</v>
      </c>
      <c r="B186">
        <v>2.4</v>
      </c>
      <c r="C186" t="s">
        <v>1120</v>
      </c>
    </row>
    <row r="187" spans="1:3" x14ac:dyDescent="0.25">
      <c r="A187" s="1" t="s">
        <v>1121</v>
      </c>
      <c r="B187">
        <v>3</v>
      </c>
      <c r="C187" t="s">
        <v>1122</v>
      </c>
    </row>
    <row r="188" spans="1:3" x14ac:dyDescent="0.25">
      <c r="A188" s="1" t="s">
        <v>1123</v>
      </c>
      <c r="B188">
        <v>12</v>
      </c>
      <c r="C188" t="s">
        <v>1124</v>
      </c>
    </row>
    <row r="189" spans="1:3" x14ac:dyDescent="0.25">
      <c r="A189" s="1" t="s">
        <v>1125</v>
      </c>
      <c r="B189">
        <v>3.5</v>
      </c>
      <c r="C189" t="s">
        <v>1126</v>
      </c>
    </row>
    <row r="190" spans="1:3" x14ac:dyDescent="0.25">
      <c r="A190" s="1" t="s">
        <v>1127</v>
      </c>
      <c r="B190">
        <v>8</v>
      </c>
      <c r="C190" t="s">
        <v>1128</v>
      </c>
    </row>
    <row r="191" spans="1:3" x14ac:dyDescent="0.25">
      <c r="A191" s="1" t="s">
        <v>1129</v>
      </c>
      <c r="B191">
        <v>3</v>
      </c>
      <c r="C191" t="s">
        <v>1130</v>
      </c>
    </row>
    <row r="192" spans="1:3" x14ac:dyDescent="0.25">
      <c r="A192" s="1" t="s">
        <v>1131</v>
      </c>
      <c r="B192">
        <v>0.8</v>
      </c>
      <c r="C192" t="s">
        <v>1132</v>
      </c>
    </row>
    <row r="193" spans="1:3" x14ac:dyDescent="0.25">
      <c r="A193" s="1" t="s">
        <v>1133</v>
      </c>
      <c r="B193">
        <v>4</v>
      </c>
      <c r="C193" t="s">
        <v>1134</v>
      </c>
    </row>
    <row r="194" spans="1:3" x14ac:dyDescent="0.25">
      <c r="A194" s="1" t="s">
        <v>1135</v>
      </c>
      <c r="B194">
        <v>0.6</v>
      </c>
      <c r="C194" t="s">
        <v>1136</v>
      </c>
    </row>
    <row r="195" spans="1:3" x14ac:dyDescent="0.25">
      <c r="A195" s="1" t="s">
        <v>1137</v>
      </c>
      <c r="B195">
        <v>0.75</v>
      </c>
      <c r="C195" t="s">
        <v>1138</v>
      </c>
    </row>
    <row r="196" spans="1:3" x14ac:dyDescent="0.25">
      <c r="A196" s="1" t="s">
        <v>1139</v>
      </c>
      <c r="B196">
        <v>0.65</v>
      </c>
      <c r="C196" t="s">
        <v>1140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4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11" customWidth="1"/>
    <col min="3" max="3" width="95" customWidth="1"/>
  </cols>
  <sheetData>
    <row r="1" spans="1:3" x14ac:dyDescent="0.25">
      <c r="A1" s="2" t="s">
        <v>6</v>
      </c>
      <c r="B1" s="3" t="s">
        <v>509</v>
      </c>
      <c r="C1" s="3" t="s">
        <v>510</v>
      </c>
    </row>
    <row r="2" ht="78" customHeight="1" spans="1:3" x14ac:dyDescent="0.25">
      <c r="A2" s="4" t="s">
        <v>218</v>
      </c>
      <c r="B2" s="5" t="s">
        <v>511</v>
      </c>
      <c r="C2" s="5" t="s">
        <v>512</v>
      </c>
    </row>
    <row r="3" spans="1:3" x14ac:dyDescent="0.25">
      <c r="A3" s="1" t="s">
        <v>1141</v>
      </c>
      <c r="B3">
        <v>0.45</v>
      </c>
      <c r="C3" t="s">
        <v>1142</v>
      </c>
    </row>
    <row r="4" spans="1:3" x14ac:dyDescent="0.25">
      <c r="A4" s="1" t="s">
        <v>1143</v>
      </c>
      <c r="B4">
        <v>0.8</v>
      </c>
      <c r="C4" t="s">
        <v>1144</v>
      </c>
    </row>
    <row r="5" spans="1:3" x14ac:dyDescent="0.25">
      <c r="A5" s="1" t="s">
        <v>1145</v>
      </c>
      <c r="B5">
        <v>0.5</v>
      </c>
      <c r="C5" t="s">
        <v>1146</v>
      </c>
    </row>
    <row r="6" spans="1:3" x14ac:dyDescent="0.25">
      <c r="A6" s="1" t="s">
        <v>1147</v>
      </c>
      <c r="B6">
        <v>0.5</v>
      </c>
      <c r="C6" t="s">
        <v>1148</v>
      </c>
    </row>
    <row r="7" spans="1:3" x14ac:dyDescent="0.25">
      <c r="A7" s="1" t="s">
        <v>1149</v>
      </c>
      <c r="B7">
        <v>1.5</v>
      </c>
      <c r="C7" t="s">
        <v>1150</v>
      </c>
    </row>
    <row r="8" spans="1:3" x14ac:dyDescent="0.25">
      <c r="A8" s="1" t="s">
        <v>1151</v>
      </c>
      <c r="B8">
        <v>1.2</v>
      </c>
      <c r="C8" t="s">
        <v>1152</v>
      </c>
    </row>
    <row r="9" spans="1:3" x14ac:dyDescent="0.25">
      <c r="A9" s="1" t="s">
        <v>1153</v>
      </c>
      <c r="B9">
        <v>1.7</v>
      </c>
      <c r="C9" t="s">
        <v>1154</v>
      </c>
    </row>
    <row r="10" spans="1:3" x14ac:dyDescent="0.25">
      <c r="A10" s="1" t="s">
        <v>1155</v>
      </c>
      <c r="B10">
        <v>7</v>
      </c>
      <c r="C10" t="s">
        <v>1156</v>
      </c>
    </row>
    <row r="11" spans="1:3" x14ac:dyDescent="0.25">
      <c r="A11" s="1" t="s">
        <v>1157</v>
      </c>
      <c r="B11">
        <v>16</v>
      </c>
      <c r="C11" t="s">
        <v>1158</v>
      </c>
    </row>
    <row r="12" spans="1:3" x14ac:dyDescent="0.25">
      <c r="A12" s="1" t="s">
        <v>1159</v>
      </c>
      <c r="B12">
        <v>25</v>
      </c>
      <c r="C12" t="s">
        <v>1160</v>
      </c>
    </row>
    <row r="13" spans="1:3" x14ac:dyDescent="0.25">
      <c r="A13" s="1" t="s">
        <v>1161</v>
      </c>
      <c r="B13">
        <v>11</v>
      </c>
      <c r="C13" t="s">
        <v>1162</v>
      </c>
    </row>
    <row r="14" spans="1:3" x14ac:dyDescent="0.25">
      <c r="A14" s="1" t="s">
        <v>1163</v>
      </c>
      <c r="B14">
        <v>10</v>
      </c>
      <c r="C14" t="s">
        <v>1164</v>
      </c>
    </row>
    <row r="15" spans="1:3" x14ac:dyDescent="0.25">
      <c r="A15" s="1" t="s">
        <v>1165</v>
      </c>
      <c r="B15">
        <v>1.2</v>
      </c>
      <c r="C15" t="s">
        <v>1166</v>
      </c>
    </row>
    <row r="16" spans="1:3" x14ac:dyDescent="0.25">
      <c r="A16" s="1" t="s">
        <v>1167</v>
      </c>
      <c r="B16">
        <v>1</v>
      </c>
      <c r="C16" t="s">
        <v>1168</v>
      </c>
    </row>
    <row r="17" spans="1:3" x14ac:dyDescent="0.25">
      <c r="A17" s="1" t="s">
        <v>1169</v>
      </c>
      <c r="B17">
        <v>2.6</v>
      </c>
      <c r="C17" t="s">
        <v>1170</v>
      </c>
    </row>
    <row r="18" spans="1:3" x14ac:dyDescent="0.25">
      <c r="A18" s="1" t="s">
        <v>1171</v>
      </c>
      <c r="B18">
        <v>1.4</v>
      </c>
      <c r="C18" t="s">
        <v>1172</v>
      </c>
    </row>
    <row r="19" spans="1:3" x14ac:dyDescent="0.25">
      <c r="A19" s="1" t="s">
        <v>1173</v>
      </c>
      <c r="B19">
        <v>16</v>
      </c>
      <c r="C19" t="s">
        <v>1174</v>
      </c>
    </row>
    <row r="20" spans="1:3" x14ac:dyDescent="0.25">
      <c r="A20" s="1" t="s">
        <v>1175</v>
      </c>
      <c r="B20">
        <v>2.6</v>
      </c>
      <c r="C20" t="s">
        <v>1176</v>
      </c>
    </row>
    <row r="21" spans="1:3" x14ac:dyDescent="0.25">
      <c r="A21" s="1" t="s">
        <v>1177</v>
      </c>
      <c r="B21">
        <v>4</v>
      </c>
      <c r="C21" t="s">
        <v>1178</v>
      </c>
    </row>
    <row r="22" spans="1:3" x14ac:dyDescent="0.25">
      <c r="A22" s="1" t="s">
        <v>1179</v>
      </c>
      <c r="B22">
        <v>3</v>
      </c>
      <c r="C22" t="s">
        <v>1180</v>
      </c>
    </row>
    <row r="23" spans="1:3" x14ac:dyDescent="0.25">
      <c r="A23" s="1" t="s">
        <v>1181</v>
      </c>
      <c r="B23">
        <v>1.5</v>
      </c>
      <c r="C23" t="s">
        <v>1182</v>
      </c>
    </row>
    <row r="24" spans="1:3" x14ac:dyDescent="0.25">
      <c r="A24" s="1" t="s">
        <v>1183</v>
      </c>
      <c r="B24">
        <v>9</v>
      </c>
      <c r="C24" t="s">
        <v>1184</v>
      </c>
    </row>
    <row r="25" spans="1:3" x14ac:dyDescent="0.25">
      <c r="A25" s="1" t="s">
        <v>1185</v>
      </c>
      <c r="B25">
        <v>0.4</v>
      </c>
      <c r="C25" t="s">
        <v>1186</v>
      </c>
    </row>
    <row r="26" spans="1:3" x14ac:dyDescent="0.25">
      <c r="A26" s="1" t="s">
        <v>1187</v>
      </c>
      <c r="B26">
        <v>16</v>
      </c>
      <c r="C26" t="s">
        <v>1188</v>
      </c>
    </row>
    <row r="27" spans="1:3" x14ac:dyDescent="0.25">
      <c r="A27" s="1" t="s">
        <v>1189</v>
      </c>
      <c r="B27">
        <v>7</v>
      </c>
      <c r="C27" t="s">
        <v>1190</v>
      </c>
    </row>
    <row r="28" spans="1:3" x14ac:dyDescent="0.25">
      <c r="A28" s="1" t="s">
        <v>1191</v>
      </c>
      <c r="B28">
        <v>0.8</v>
      </c>
      <c r="C28" t="s">
        <v>1192</v>
      </c>
    </row>
    <row r="29" spans="1:3" x14ac:dyDescent="0.25">
      <c r="A29" s="1" t="s">
        <v>1193</v>
      </c>
      <c r="B29">
        <v>2.2</v>
      </c>
      <c r="C29" t="s">
        <v>1194</v>
      </c>
    </row>
    <row r="30" spans="1:3" x14ac:dyDescent="0.25">
      <c r="A30" s="1" t="s">
        <v>1195</v>
      </c>
      <c r="B30">
        <v>18</v>
      </c>
      <c r="C30" t="s">
        <v>1196</v>
      </c>
    </row>
    <row r="31" spans="1:3" x14ac:dyDescent="0.25">
      <c r="A31" s="1" t="s">
        <v>1197</v>
      </c>
      <c r="B31">
        <v>0.9</v>
      </c>
      <c r="C31" t="s">
        <v>1198</v>
      </c>
    </row>
    <row r="32" spans="1:3" x14ac:dyDescent="0.25">
      <c r="A32" s="1" t="s">
        <v>1199</v>
      </c>
      <c r="B32">
        <v>3.5</v>
      </c>
      <c r="C32" t="s">
        <v>1200</v>
      </c>
    </row>
    <row r="33" spans="1:3" x14ac:dyDescent="0.25">
      <c r="A33" s="1" t="s">
        <v>1201</v>
      </c>
      <c r="B33">
        <v>5.5</v>
      </c>
      <c r="C33" t="s">
        <v>1202</v>
      </c>
    </row>
    <row r="34" spans="1:3" x14ac:dyDescent="0.25">
      <c r="A34" s="1" t="s">
        <v>1203</v>
      </c>
      <c r="B34">
        <v>2.2</v>
      </c>
      <c r="C34" t="s">
        <v>1204</v>
      </c>
    </row>
    <row r="35" spans="1:3" x14ac:dyDescent="0.25">
      <c r="A35" s="1" t="s">
        <v>1205</v>
      </c>
      <c r="B35">
        <v>12</v>
      </c>
      <c r="C35" t="s">
        <v>1206</v>
      </c>
    </row>
    <row r="36" spans="1:3" x14ac:dyDescent="0.25">
      <c r="A36" s="1" t="s">
        <v>1207</v>
      </c>
      <c r="B36">
        <v>0.9</v>
      </c>
      <c r="C36" t="s">
        <v>1208</v>
      </c>
    </row>
    <row r="37" spans="1:3" x14ac:dyDescent="0.25">
      <c r="A37" s="1" t="s">
        <v>1209</v>
      </c>
      <c r="B37">
        <v>5</v>
      </c>
      <c r="C37" t="s">
        <v>1210</v>
      </c>
    </row>
    <row r="38" spans="1:3" x14ac:dyDescent="0.25">
      <c r="A38" s="1" t="s">
        <v>1211</v>
      </c>
      <c r="B38">
        <v>1.7</v>
      </c>
      <c r="C38" t="s">
        <v>1212</v>
      </c>
    </row>
    <row r="39" spans="1:3" x14ac:dyDescent="0.25">
      <c r="A39" s="1" t="s">
        <v>1213</v>
      </c>
      <c r="B39">
        <v>0.7</v>
      </c>
      <c r="C39" t="s">
        <v>1214</v>
      </c>
    </row>
    <row r="40" spans="1:3" x14ac:dyDescent="0.25">
      <c r="A40" s="1" t="s">
        <v>1215</v>
      </c>
      <c r="B40">
        <v>3</v>
      </c>
      <c r="C40" t="s">
        <v>1216</v>
      </c>
    </row>
    <row r="41" spans="1:3" x14ac:dyDescent="0.25">
      <c r="A41" s="1" t="s">
        <v>1217</v>
      </c>
      <c r="B41">
        <v>3</v>
      </c>
      <c r="C41" t="s">
        <v>1218</v>
      </c>
    </row>
    <row r="42" spans="1:3" x14ac:dyDescent="0.25">
      <c r="A42" s="1" t="s">
        <v>1219</v>
      </c>
      <c r="B42">
        <v>5</v>
      </c>
      <c r="C42" t="s">
        <v>1220</v>
      </c>
    </row>
    <row r="43" spans="1:3" x14ac:dyDescent="0.25">
      <c r="A43" s="1" t="s">
        <v>1221</v>
      </c>
      <c r="B43">
        <v>1.1</v>
      </c>
      <c r="C43" t="s">
        <v>1222</v>
      </c>
    </row>
    <row r="44" spans="1:3" x14ac:dyDescent="0.25">
      <c r="A44" s="1" t="s">
        <v>1223</v>
      </c>
      <c r="B44">
        <v>6</v>
      </c>
      <c r="C44" t="s">
        <v>1224</v>
      </c>
    </row>
    <row r="45" spans="1:3" x14ac:dyDescent="0.25">
      <c r="A45" s="1" t="s">
        <v>1225</v>
      </c>
      <c r="B45">
        <v>0.16</v>
      </c>
      <c r="C45" t="s">
        <v>1226</v>
      </c>
    </row>
    <row r="46" spans="1:3" x14ac:dyDescent="0.25">
      <c r="A46" s="1" t="s">
        <v>1227</v>
      </c>
      <c r="B46">
        <v>3</v>
      </c>
      <c r="C46" t="s">
        <v>1228</v>
      </c>
    </row>
    <row r="47" spans="1:3" x14ac:dyDescent="0.25">
      <c r="A47" s="1" t="s">
        <v>1229</v>
      </c>
      <c r="B47">
        <v>1.3</v>
      </c>
      <c r="C47" t="s">
        <v>1230</v>
      </c>
    </row>
    <row r="48" spans="1:3" x14ac:dyDescent="0.25">
      <c r="A48" s="1" t="s">
        <v>1231</v>
      </c>
      <c r="B48">
        <v>22</v>
      </c>
      <c r="C48" t="s">
        <v>1232</v>
      </c>
    </row>
    <row r="49" spans="1:3" x14ac:dyDescent="0.25">
      <c r="A49" s="1" t="s">
        <v>1233</v>
      </c>
      <c r="B49">
        <v>2.5</v>
      </c>
      <c r="C49" t="s">
        <v>1234</v>
      </c>
    </row>
    <row r="50" spans="1:3" x14ac:dyDescent="0.25">
      <c r="A50" s="1" t="s">
        <v>1235</v>
      </c>
      <c r="B50">
        <v>0.5</v>
      </c>
      <c r="C50" t="s">
        <v>1236</v>
      </c>
    </row>
    <row r="51" spans="1:3" x14ac:dyDescent="0.25">
      <c r="A51" s="1" t="s">
        <v>1237</v>
      </c>
      <c r="B51">
        <v>20</v>
      </c>
      <c r="C51" t="s">
        <v>1238</v>
      </c>
    </row>
    <row r="52" spans="1:3" x14ac:dyDescent="0.25">
      <c r="A52" s="1" t="s">
        <v>1239</v>
      </c>
      <c r="B52">
        <v>1.4</v>
      </c>
      <c r="C52" t="s">
        <v>1240</v>
      </c>
    </row>
    <row r="53" spans="1:3" x14ac:dyDescent="0.25">
      <c r="A53" s="1" t="s">
        <v>1241</v>
      </c>
      <c r="B53">
        <v>2.6</v>
      </c>
      <c r="C53" t="s">
        <v>1242</v>
      </c>
    </row>
    <row r="54" spans="1:3" x14ac:dyDescent="0.25">
      <c r="A54" s="1" t="s">
        <v>1243</v>
      </c>
      <c r="B54">
        <v>2</v>
      </c>
      <c r="C54" t="s">
        <v>1244</v>
      </c>
    </row>
    <row r="55" spans="1:3" x14ac:dyDescent="0.25">
      <c r="A55" s="1" t="s">
        <v>1245</v>
      </c>
      <c r="B55">
        <v>9</v>
      </c>
      <c r="C55" t="s">
        <v>1246</v>
      </c>
    </row>
    <row r="56" spans="1:3" x14ac:dyDescent="0.25">
      <c r="A56" s="1" t="s">
        <v>1247</v>
      </c>
      <c r="B56">
        <v>12</v>
      </c>
      <c r="C56" t="s">
        <v>1248</v>
      </c>
    </row>
    <row r="57" spans="1:3" x14ac:dyDescent="0.25">
      <c r="A57" s="1" t="s">
        <v>1249</v>
      </c>
      <c r="B57">
        <v>0.8</v>
      </c>
      <c r="C57" t="s">
        <v>1250</v>
      </c>
    </row>
    <row r="58" spans="1:3" x14ac:dyDescent="0.25">
      <c r="A58" s="1" t="s">
        <v>1251</v>
      </c>
      <c r="B58">
        <v>3</v>
      </c>
      <c r="C58" t="s">
        <v>1252</v>
      </c>
    </row>
    <row r="59" spans="1:3" x14ac:dyDescent="0.25">
      <c r="A59" s="1" t="s">
        <v>1253</v>
      </c>
      <c r="B59">
        <v>0.3</v>
      </c>
      <c r="C59" t="s">
        <v>1254</v>
      </c>
    </row>
    <row r="60" spans="1:3" x14ac:dyDescent="0.25">
      <c r="A60" s="1" t="s">
        <v>1255</v>
      </c>
      <c r="B60">
        <v>7</v>
      </c>
      <c r="C60" t="s">
        <v>1256</v>
      </c>
    </row>
    <row r="61" spans="1:3" x14ac:dyDescent="0.25">
      <c r="A61" s="1" t="s">
        <v>1257</v>
      </c>
      <c r="B61">
        <v>0.2</v>
      </c>
      <c r="C61" t="s">
        <v>1258</v>
      </c>
    </row>
    <row r="62" spans="1:3" x14ac:dyDescent="0.25">
      <c r="A62" s="1" t="s">
        <v>1259</v>
      </c>
      <c r="B62">
        <v>3.5</v>
      </c>
      <c r="C62" t="s">
        <v>1260</v>
      </c>
    </row>
    <row r="63" spans="1:3" x14ac:dyDescent="0.25">
      <c r="A63" s="1" t="s">
        <v>1261</v>
      </c>
      <c r="B63">
        <v>16</v>
      </c>
      <c r="C63" t="s">
        <v>1262</v>
      </c>
    </row>
    <row r="64" spans="1:3" x14ac:dyDescent="0.25">
      <c r="A64" s="1" t="s">
        <v>1263</v>
      </c>
      <c r="B64">
        <v>1</v>
      </c>
      <c r="C64" t="s">
        <v>1264</v>
      </c>
    </row>
    <row r="65" spans="1:3" x14ac:dyDescent="0.25">
      <c r="A65" s="1" t="s">
        <v>1265</v>
      </c>
      <c r="B65">
        <v>9</v>
      </c>
      <c r="C65" t="s">
        <v>1266</v>
      </c>
    </row>
    <row r="66" spans="1:3" x14ac:dyDescent="0.25">
      <c r="A66" s="1" t="s">
        <v>1267</v>
      </c>
      <c r="B66">
        <v>0.16</v>
      </c>
      <c r="C66" t="s">
        <v>1268</v>
      </c>
    </row>
    <row r="67" spans="1:3" x14ac:dyDescent="0.25">
      <c r="A67" s="1" t="s">
        <v>1269</v>
      </c>
      <c r="B67">
        <v>1.3</v>
      </c>
      <c r="C67" t="s">
        <v>1270</v>
      </c>
    </row>
    <row r="68" spans="1:3" x14ac:dyDescent="0.25">
      <c r="A68" s="1" t="s">
        <v>1271</v>
      </c>
      <c r="B68">
        <v>8</v>
      </c>
      <c r="C68" t="s">
        <v>1272</v>
      </c>
    </row>
    <row r="69" spans="1:3" x14ac:dyDescent="0.25">
      <c r="A69" s="1" t="s">
        <v>1273</v>
      </c>
      <c r="B69">
        <v>14</v>
      </c>
      <c r="C69" t="s">
        <v>1274</v>
      </c>
    </row>
    <row r="70" spans="1:3" x14ac:dyDescent="0.25">
      <c r="A70" s="1" t="s">
        <v>1275</v>
      </c>
      <c r="B70">
        <v>0.4</v>
      </c>
      <c r="C70" t="s">
        <v>1276</v>
      </c>
    </row>
    <row r="71" spans="1:3" x14ac:dyDescent="0.25">
      <c r="A71" s="1" t="s">
        <v>1277</v>
      </c>
      <c r="B71">
        <v>2.8</v>
      </c>
      <c r="C71" t="s">
        <v>1278</v>
      </c>
    </row>
    <row r="72" spans="1:3" x14ac:dyDescent="0.25">
      <c r="A72" s="1" t="s">
        <v>1279</v>
      </c>
      <c r="B72">
        <v>38</v>
      </c>
      <c r="C72" t="s">
        <v>1280</v>
      </c>
    </row>
    <row r="73" spans="1:3" x14ac:dyDescent="0.25">
      <c r="A73" s="1" t="s">
        <v>1281</v>
      </c>
      <c r="B73">
        <v>0.5</v>
      </c>
      <c r="C73" t="s">
        <v>1282</v>
      </c>
    </row>
    <row r="74" spans="1:3" x14ac:dyDescent="0.25">
      <c r="A74" s="1" t="s">
        <v>1283</v>
      </c>
      <c r="B74">
        <v>1.2</v>
      </c>
      <c r="C74" t="s">
        <v>1284</v>
      </c>
    </row>
    <row r="75" spans="1:3" x14ac:dyDescent="0.25">
      <c r="A75" s="1" t="s">
        <v>1285</v>
      </c>
      <c r="B75">
        <v>28</v>
      </c>
      <c r="C75" t="s">
        <v>1286</v>
      </c>
    </row>
    <row r="76" spans="1:3" x14ac:dyDescent="0.25">
      <c r="A76" s="1" t="s">
        <v>1287</v>
      </c>
      <c r="B76">
        <v>30</v>
      </c>
      <c r="C76" t="s">
        <v>1288</v>
      </c>
    </row>
    <row r="77" spans="1:3" x14ac:dyDescent="0.25">
      <c r="A77" s="1" t="s">
        <v>1289</v>
      </c>
      <c r="B77">
        <v>4</v>
      </c>
      <c r="C77" t="s">
        <v>1290</v>
      </c>
    </row>
    <row r="78" spans="1:3" x14ac:dyDescent="0.25">
      <c r="A78" s="1" t="s">
        <v>1291</v>
      </c>
      <c r="B78">
        <v>1</v>
      </c>
      <c r="C78" t="s">
        <v>1292</v>
      </c>
    </row>
    <row r="79" spans="1:3" x14ac:dyDescent="0.25">
      <c r="A79" s="1" t="s">
        <v>1293</v>
      </c>
      <c r="B79">
        <v>1.6</v>
      </c>
      <c r="C79" t="s">
        <v>1294</v>
      </c>
    </row>
    <row r="80" spans="1:3" x14ac:dyDescent="0.25">
      <c r="A80" s="1" t="s">
        <v>1295</v>
      </c>
      <c r="B80">
        <v>1.6</v>
      </c>
      <c r="C80" t="s">
        <v>1296</v>
      </c>
    </row>
    <row r="81" spans="1:3" x14ac:dyDescent="0.25">
      <c r="A81" s="1" t="s">
        <v>1297</v>
      </c>
      <c r="B81">
        <v>16</v>
      </c>
      <c r="C81" t="s">
        <v>1298</v>
      </c>
    </row>
    <row r="82" spans="1:3" x14ac:dyDescent="0.25">
      <c r="A82" s="1" t="s">
        <v>1299</v>
      </c>
      <c r="B82">
        <v>6</v>
      </c>
      <c r="C82" t="s">
        <v>1300</v>
      </c>
    </row>
    <row r="83" spans="1:3" x14ac:dyDescent="0.25">
      <c r="A83" s="1" t="s">
        <v>1301</v>
      </c>
      <c r="B83">
        <v>5</v>
      </c>
      <c r="C83" t="s">
        <v>1302</v>
      </c>
    </row>
    <row r="84" spans="1:3" x14ac:dyDescent="0.25">
      <c r="A84" s="1" t="s">
        <v>1303</v>
      </c>
      <c r="B84">
        <v>6</v>
      </c>
      <c r="C84" t="s">
        <v>1304</v>
      </c>
    </row>
    <row r="85" spans="1:3" x14ac:dyDescent="0.25">
      <c r="A85" s="1" t="s">
        <v>1305</v>
      </c>
      <c r="B85">
        <v>0.45</v>
      </c>
      <c r="C85" t="s">
        <v>1306</v>
      </c>
    </row>
    <row r="86" spans="1:3" x14ac:dyDescent="0.25">
      <c r="A86" s="1" t="s">
        <v>1307</v>
      </c>
      <c r="B86">
        <v>0.45</v>
      </c>
      <c r="C86" t="s">
        <v>1308</v>
      </c>
    </row>
    <row r="87" spans="1:3" x14ac:dyDescent="0.25">
      <c r="A87" s="1" t="s">
        <v>1309</v>
      </c>
      <c r="B87">
        <v>2.4</v>
      </c>
      <c r="C87" t="s">
        <v>1310</v>
      </c>
    </row>
    <row r="88" spans="1:3" x14ac:dyDescent="0.25">
      <c r="A88" s="1" t="s">
        <v>1311</v>
      </c>
      <c r="B88">
        <v>30</v>
      </c>
      <c r="C88" t="s">
        <v>1312</v>
      </c>
    </row>
    <row r="89" spans="1:3" x14ac:dyDescent="0.25">
      <c r="A89" s="1" t="s">
        <v>1313</v>
      </c>
      <c r="B89">
        <v>1.6</v>
      </c>
      <c r="C89" t="s">
        <v>1314</v>
      </c>
    </row>
    <row r="90" spans="1:3" x14ac:dyDescent="0.25">
      <c r="A90" s="1" t="s">
        <v>1315</v>
      </c>
      <c r="B90">
        <v>3</v>
      </c>
      <c r="C90" t="s">
        <v>1316</v>
      </c>
    </row>
    <row r="91" spans="1:3" x14ac:dyDescent="0.25">
      <c r="A91" s="1" t="s">
        <v>1317</v>
      </c>
      <c r="B91">
        <v>22</v>
      </c>
      <c r="C91" t="s">
        <v>1318</v>
      </c>
    </row>
    <row r="92" spans="1:3" x14ac:dyDescent="0.25">
      <c r="A92" s="1" t="s">
        <v>1319</v>
      </c>
      <c r="B92">
        <v>1.2</v>
      </c>
      <c r="C92" t="s">
        <v>1320</v>
      </c>
    </row>
    <row r="93" spans="1:3" x14ac:dyDescent="0.25">
      <c r="A93" s="1" t="s">
        <v>1321</v>
      </c>
      <c r="B93">
        <v>2.4</v>
      </c>
      <c r="C93" t="s">
        <v>1322</v>
      </c>
    </row>
    <row r="94" spans="1:3" x14ac:dyDescent="0.25">
      <c r="A94" s="1" t="s">
        <v>1323</v>
      </c>
      <c r="B94">
        <v>2.5</v>
      </c>
      <c r="C94" t="s">
        <v>1324</v>
      </c>
    </row>
    <row r="95" spans="1:3" x14ac:dyDescent="0.25">
      <c r="A95" s="1" t="s">
        <v>1325</v>
      </c>
      <c r="B95">
        <v>8</v>
      </c>
      <c r="C95" t="s">
        <v>1326</v>
      </c>
    </row>
    <row r="96" spans="1:3" x14ac:dyDescent="0.25">
      <c r="A96" s="1" t="s">
        <v>1327</v>
      </c>
      <c r="B96">
        <v>10</v>
      </c>
      <c r="C96" t="s">
        <v>1328</v>
      </c>
    </row>
    <row r="97" spans="1:3" x14ac:dyDescent="0.25">
      <c r="A97" s="1" t="s">
        <v>1329</v>
      </c>
      <c r="B97">
        <v>0.7</v>
      </c>
      <c r="C97" t="s">
        <v>1330</v>
      </c>
    </row>
    <row r="98" spans="1:3" x14ac:dyDescent="0.25">
      <c r="A98" s="1" t="s">
        <v>1331</v>
      </c>
      <c r="B98">
        <v>4</v>
      </c>
      <c r="C98" t="s">
        <v>1332</v>
      </c>
    </row>
    <row r="99" spans="1:3" x14ac:dyDescent="0.25">
      <c r="A99" s="1" t="s">
        <v>1333</v>
      </c>
      <c r="B99">
        <v>0.35</v>
      </c>
      <c r="C99" t="s">
        <v>1334</v>
      </c>
    </row>
    <row r="100" spans="1:3" x14ac:dyDescent="0.25">
      <c r="A100" s="1" t="s">
        <v>1335</v>
      </c>
      <c r="B100">
        <v>5</v>
      </c>
      <c r="C100" t="s">
        <v>1336</v>
      </c>
    </row>
    <row r="101" spans="1:3" x14ac:dyDescent="0.25">
      <c r="A101" s="1" t="s">
        <v>1337</v>
      </c>
      <c r="B101">
        <v>0.3</v>
      </c>
      <c r="C101" t="s">
        <v>1338</v>
      </c>
    </row>
    <row r="102" spans="1:3" x14ac:dyDescent="0.25">
      <c r="A102" s="1" t="s">
        <v>1339</v>
      </c>
      <c r="B102">
        <v>0.22</v>
      </c>
      <c r="C102" t="s">
        <v>1340</v>
      </c>
    </row>
    <row r="103" spans="1:3" x14ac:dyDescent="0.25">
      <c r="A103" s="1" t="s">
        <v>1341</v>
      </c>
      <c r="B103">
        <v>3.2</v>
      </c>
      <c r="C103" t="s">
        <v>1342</v>
      </c>
    </row>
    <row r="104" spans="1:3" x14ac:dyDescent="0.25">
      <c r="A104" s="1" t="s">
        <v>1343</v>
      </c>
      <c r="B104">
        <v>45</v>
      </c>
      <c r="C104" t="s">
        <v>1344</v>
      </c>
    </row>
    <row r="105" spans="1:3" x14ac:dyDescent="0.25">
      <c r="A105" s="1" t="s">
        <v>1345</v>
      </c>
      <c r="B105">
        <v>1.2</v>
      </c>
      <c r="C105" t="s">
        <v>1346</v>
      </c>
    </row>
    <row r="106" spans="1:3" x14ac:dyDescent="0.25">
      <c r="A106" s="1" t="s">
        <v>1347</v>
      </c>
      <c r="B106">
        <v>2.6</v>
      </c>
      <c r="C106" t="s">
        <v>1348</v>
      </c>
    </row>
    <row r="107" spans="1:3" x14ac:dyDescent="0.25">
      <c r="A107" s="1" t="s">
        <v>1349</v>
      </c>
      <c r="B107">
        <v>3</v>
      </c>
      <c r="C107" t="s">
        <v>1350</v>
      </c>
    </row>
    <row r="108" spans="1:3" x14ac:dyDescent="0.25">
      <c r="A108" s="1" t="s">
        <v>1351</v>
      </c>
      <c r="B108">
        <v>5</v>
      </c>
      <c r="C108" t="s">
        <v>1352</v>
      </c>
    </row>
    <row r="109" spans="1:3" x14ac:dyDescent="0.25">
      <c r="A109" s="1" t="s">
        <v>1353</v>
      </c>
      <c r="B109">
        <v>0.28</v>
      </c>
      <c r="C109" t="s">
        <v>1354</v>
      </c>
    </row>
    <row r="110" spans="1:3" x14ac:dyDescent="0.25">
      <c r="A110" s="1" t="s">
        <v>1355</v>
      </c>
      <c r="B110">
        <v>16</v>
      </c>
      <c r="C110" t="s">
        <v>1356</v>
      </c>
    </row>
    <row r="111" spans="1:3" x14ac:dyDescent="0.25">
      <c r="A111" s="1" t="s">
        <v>1357</v>
      </c>
      <c r="B111">
        <v>3</v>
      </c>
      <c r="C111" t="s">
        <v>1358</v>
      </c>
    </row>
    <row r="112" spans="1:3" x14ac:dyDescent="0.25">
      <c r="A112" s="1" t="s">
        <v>1359</v>
      </c>
      <c r="B112">
        <v>14</v>
      </c>
      <c r="C112" t="s">
        <v>1360</v>
      </c>
    </row>
    <row r="113" spans="1:3" x14ac:dyDescent="0.25">
      <c r="A113" s="1" t="s">
        <v>1361</v>
      </c>
      <c r="B113">
        <v>2</v>
      </c>
      <c r="C113" t="s">
        <v>1362</v>
      </c>
    </row>
    <row r="114" spans="1:3" x14ac:dyDescent="0.25">
      <c r="A114" s="1" t="s">
        <v>1363</v>
      </c>
      <c r="B114">
        <v>14</v>
      </c>
      <c r="C114" t="s">
        <v>1364</v>
      </c>
    </row>
    <row r="115" spans="1:3" x14ac:dyDescent="0.25">
      <c r="A115" s="1" t="s">
        <v>1365</v>
      </c>
      <c r="B115">
        <v>16</v>
      </c>
      <c r="C115" t="s">
        <v>1366</v>
      </c>
    </row>
    <row r="116" spans="1:3" x14ac:dyDescent="0.25">
      <c r="A116" s="1" t="s">
        <v>1367</v>
      </c>
      <c r="B116">
        <v>1</v>
      </c>
      <c r="C116" t="s">
        <v>1368</v>
      </c>
    </row>
    <row r="117" spans="1:3" x14ac:dyDescent="0.25">
      <c r="A117" s="1" t="s">
        <v>1369</v>
      </c>
      <c r="B117">
        <v>10</v>
      </c>
      <c r="C117" t="s">
        <v>1370</v>
      </c>
    </row>
    <row r="118" spans="1:3" x14ac:dyDescent="0.25">
      <c r="A118" s="1" t="s">
        <v>1371</v>
      </c>
      <c r="B118">
        <v>2.2</v>
      </c>
      <c r="C118" t="s">
        <v>1372</v>
      </c>
    </row>
    <row r="119" spans="1:3" x14ac:dyDescent="0.25">
      <c r="A119" s="1" t="s">
        <v>1373</v>
      </c>
      <c r="B119">
        <v>4</v>
      </c>
      <c r="C119" t="s">
        <v>1374</v>
      </c>
    </row>
    <row r="120" spans="1:3" x14ac:dyDescent="0.25">
      <c r="A120" s="1" t="s">
        <v>1375</v>
      </c>
      <c r="B120">
        <v>14</v>
      </c>
      <c r="C120" t="s">
        <v>1376</v>
      </c>
    </row>
    <row r="121" spans="1:3" x14ac:dyDescent="0.25">
      <c r="A121" s="1" t="s">
        <v>1377</v>
      </c>
      <c r="B121">
        <v>8</v>
      </c>
      <c r="C121" t="s">
        <v>1378</v>
      </c>
    </row>
    <row r="122" spans="1:3" x14ac:dyDescent="0.25">
      <c r="A122" s="1" t="s">
        <v>1379</v>
      </c>
      <c r="B122">
        <v>28</v>
      </c>
      <c r="C122" t="s">
        <v>1380</v>
      </c>
    </row>
    <row r="123" spans="1:3" x14ac:dyDescent="0.25">
      <c r="A123" s="1" t="s">
        <v>1381</v>
      </c>
      <c r="B123">
        <v>6</v>
      </c>
      <c r="C123" t="s">
        <v>1382</v>
      </c>
    </row>
    <row r="124" spans="1:3" x14ac:dyDescent="0.25">
      <c r="A124" s="1" t="s">
        <v>1383</v>
      </c>
      <c r="B124">
        <v>0.5</v>
      </c>
      <c r="C124" t="s">
        <v>1384</v>
      </c>
    </row>
    <row r="125" spans="1:3" x14ac:dyDescent="0.25">
      <c r="A125" s="1" t="s">
        <v>1385</v>
      </c>
      <c r="B125">
        <v>34</v>
      </c>
      <c r="C125" t="s">
        <v>1386</v>
      </c>
    </row>
    <row r="126" spans="1:3" x14ac:dyDescent="0.25">
      <c r="A126" s="1" t="s">
        <v>1387</v>
      </c>
      <c r="B126">
        <v>1.4</v>
      </c>
      <c r="C126" t="s">
        <v>1388</v>
      </c>
    </row>
    <row r="127" spans="1:3" x14ac:dyDescent="0.25">
      <c r="A127" s="1" t="s">
        <v>1389</v>
      </c>
      <c r="B127">
        <v>26</v>
      </c>
      <c r="C127" t="s">
        <v>1390</v>
      </c>
    </row>
    <row r="128" spans="1:3" x14ac:dyDescent="0.25">
      <c r="A128" s="1" t="s">
        <v>1391</v>
      </c>
      <c r="B128">
        <v>3</v>
      </c>
      <c r="C128" t="s">
        <v>1392</v>
      </c>
    </row>
    <row r="129" spans="1:3" x14ac:dyDescent="0.25">
      <c r="A129" s="1" t="s">
        <v>1393</v>
      </c>
      <c r="B129">
        <v>5</v>
      </c>
      <c r="C129" t="s">
        <v>1394</v>
      </c>
    </row>
    <row r="130" spans="1:3" x14ac:dyDescent="0.25">
      <c r="A130" s="1" t="s">
        <v>1395</v>
      </c>
      <c r="B130">
        <v>12</v>
      </c>
      <c r="C130" t="s">
        <v>1396</v>
      </c>
    </row>
    <row r="131" spans="1:3" x14ac:dyDescent="0.25">
      <c r="A131" s="1" t="s">
        <v>1397</v>
      </c>
      <c r="B131">
        <v>0.9</v>
      </c>
      <c r="C131" t="s">
        <v>1398</v>
      </c>
    </row>
    <row r="132" spans="1:3" x14ac:dyDescent="0.25">
      <c r="A132" s="1" t="s">
        <v>1399</v>
      </c>
      <c r="B132">
        <v>1.4</v>
      </c>
      <c r="C132" t="s">
        <v>1400</v>
      </c>
    </row>
    <row r="133" spans="1:3" x14ac:dyDescent="0.25">
      <c r="A133" s="1" t="s">
        <v>1401</v>
      </c>
      <c r="B133">
        <v>22</v>
      </c>
      <c r="C133" t="s">
        <v>1402</v>
      </c>
    </row>
    <row r="134" spans="1:3" x14ac:dyDescent="0.25">
      <c r="A134" s="1" t="s">
        <v>1403</v>
      </c>
      <c r="B134">
        <v>1.3</v>
      </c>
      <c r="C134" t="s">
        <v>1404</v>
      </c>
    </row>
    <row r="135" spans="1:3" x14ac:dyDescent="0.25">
      <c r="A135" s="1" t="s">
        <v>1405</v>
      </c>
      <c r="B135">
        <v>3</v>
      </c>
      <c r="C135" t="s">
        <v>1406</v>
      </c>
    </row>
    <row r="136" spans="1:3" x14ac:dyDescent="0.25">
      <c r="A136" s="1" t="s">
        <v>1407</v>
      </c>
      <c r="B136">
        <v>5</v>
      </c>
      <c r="C136" t="s">
        <v>1408</v>
      </c>
    </row>
    <row r="137" spans="1:3" x14ac:dyDescent="0.25">
      <c r="A137" s="1" t="s">
        <v>1409</v>
      </c>
      <c r="B137">
        <v>5</v>
      </c>
      <c r="C137" t="s">
        <v>1410</v>
      </c>
    </row>
    <row r="138" spans="1:3" x14ac:dyDescent="0.25">
      <c r="A138" s="1" t="s">
        <v>1411</v>
      </c>
      <c r="B138">
        <v>20</v>
      </c>
      <c r="C138" t="s">
        <v>1412</v>
      </c>
    </row>
    <row r="139" spans="1:3" x14ac:dyDescent="0.25">
      <c r="A139" s="1" t="s">
        <v>1413</v>
      </c>
      <c r="B139">
        <v>6</v>
      </c>
      <c r="C139" t="s">
        <v>1414</v>
      </c>
    </row>
    <row r="140" spans="1:3" x14ac:dyDescent="0.25">
      <c r="A140" s="1" t="s">
        <v>1415</v>
      </c>
      <c r="B140">
        <v>1.1</v>
      </c>
      <c r="C140" t="s">
        <v>1416</v>
      </c>
    </row>
    <row r="141" spans="1:3" x14ac:dyDescent="0.25">
      <c r="A141" s="1" t="s">
        <v>1417</v>
      </c>
      <c r="B141">
        <v>12</v>
      </c>
      <c r="C141" t="s">
        <v>1418</v>
      </c>
    </row>
    <row r="142" spans="1:3" x14ac:dyDescent="0.25">
      <c r="A142" s="1" t="s">
        <v>1419</v>
      </c>
      <c r="B142">
        <v>0.7</v>
      </c>
      <c r="C142" t="s">
        <v>1420</v>
      </c>
    </row>
    <row r="143" spans="1:3" x14ac:dyDescent="0.25">
      <c r="A143" s="1" t="s">
        <v>1421</v>
      </c>
      <c r="B143">
        <v>2.4</v>
      </c>
      <c r="C143" t="s">
        <v>1422</v>
      </c>
    </row>
    <row r="144" spans="1:3" x14ac:dyDescent="0.25">
      <c r="A144" s="1" t="s">
        <v>1423</v>
      </c>
      <c r="B144">
        <v>45</v>
      </c>
      <c r="C144" t="s">
        <v>1424</v>
      </c>
    </row>
    <row r="145" spans="1:3" x14ac:dyDescent="0.25">
      <c r="A145" s="1" t="s">
        <v>1425</v>
      </c>
      <c r="B145">
        <v>0.4</v>
      </c>
      <c r="C145" t="s">
        <v>1426</v>
      </c>
    </row>
    <row r="146" spans="1:3" x14ac:dyDescent="0.25">
      <c r="A146" s="1" t="s">
        <v>1427</v>
      </c>
      <c r="B146">
        <v>0.35</v>
      </c>
      <c r="C146" t="s">
        <v>1428</v>
      </c>
    </row>
    <row r="147" spans="1:3" x14ac:dyDescent="0.25">
      <c r="A147" s="1" t="s">
        <v>1429</v>
      </c>
      <c r="B147">
        <v>1</v>
      </c>
      <c r="C147" t="s">
        <v>1430</v>
      </c>
    </row>
    <row r="148" spans="1:3" x14ac:dyDescent="0.25">
      <c r="A148" s="1" t="s">
        <v>1431</v>
      </c>
      <c r="B148">
        <v>24</v>
      </c>
      <c r="C148" t="s">
        <v>1432</v>
      </c>
    </row>
    <row r="149" spans="1:3" x14ac:dyDescent="0.25">
      <c r="A149" s="1" t="s">
        <v>1433</v>
      </c>
      <c r="B149">
        <v>1.2</v>
      </c>
      <c r="C149" t="s">
        <v>1434</v>
      </c>
    </row>
    <row r="150" spans="1:3" x14ac:dyDescent="0.25">
      <c r="A150" s="1" t="s">
        <v>1435</v>
      </c>
      <c r="B150">
        <v>0.6</v>
      </c>
      <c r="C150" t="s">
        <v>1436</v>
      </c>
    </row>
    <row r="151" spans="1:3" x14ac:dyDescent="0.25">
      <c r="A151" s="1" t="s">
        <v>1437</v>
      </c>
      <c r="B151">
        <v>1.8</v>
      </c>
      <c r="C151" t="s">
        <v>1438</v>
      </c>
    </row>
    <row r="152" spans="1:3" x14ac:dyDescent="0.25">
      <c r="A152" s="1" t="s">
        <v>1439</v>
      </c>
      <c r="B152">
        <v>17</v>
      </c>
      <c r="C152" t="s">
        <v>1440</v>
      </c>
    </row>
    <row r="153" spans="1:3" x14ac:dyDescent="0.25">
      <c r="A153" s="1" t="s">
        <v>1441</v>
      </c>
      <c r="B153">
        <v>1.5</v>
      </c>
      <c r="C153" t="s">
        <v>1442</v>
      </c>
    </row>
    <row r="154" spans="1:3" x14ac:dyDescent="0.25">
      <c r="A154" s="1" t="s">
        <v>1443</v>
      </c>
      <c r="B154">
        <v>1.5</v>
      </c>
      <c r="C154" t="s">
        <v>1444</v>
      </c>
    </row>
    <row r="155" spans="1:3" x14ac:dyDescent="0.25">
      <c r="A155" s="1" t="s">
        <v>1445</v>
      </c>
      <c r="B155">
        <v>0.55</v>
      </c>
      <c r="C155" t="s">
        <v>1446</v>
      </c>
    </row>
    <row r="156" spans="1:3" x14ac:dyDescent="0.25">
      <c r="A156" s="1" t="s">
        <v>1447</v>
      </c>
      <c r="B156">
        <v>26</v>
      </c>
      <c r="C156" t="s">
        <v>1448</v>
      </c>
    </row>
    <row r="157" spans="1:3" x14ac:dyDescent="0.25">
      <c r="A157" s="1" t="s">
        <v>1449</v>
      </c>
      <c r="B157">
        <v>1.2</v>
      </c>
      <c r="C157" t="s">
        <v>1450</v>
      </c>
    </row>
    <row r="158" spans="1:3" x14ac:dyDescent="0.25">
      <c r="A158" s="1" t="s">
        <v>1451</v>
      </c>
      <c r="B158">
        <v>1.5</v>
      </c>
      <c r="C158" t="s">
        <v>1452</v>
      </c>
    </row>
    <row r="159" spans="1:3" x14ac:dyDescent="0.25">
      <c r="A159" s="1" t="s">
        <v>1453</v>
      </c>
      <c r="B159">
        <v>10</v>
      </c>
      <c r="C159" t="s">
        <v>1454</v>
      </c>
    </row>
    <row r="160" spans="1:3" x14ac:dyDescent="0.25">
      <c r="A160" s="1" t="s">
        <v>1455</v>
      </c>
      <c r="B160">
        <v>4</v>
      </c>
      <c r="C160" t="s">
        <v>1456</v>
      </c>
    </row>
    <row r="161" spans="1:3" x14ac:dyDescent="0.25">
      <c r="A161" s="1" t="s">
        <v>1457</v>
      </c>
      <c r="B161">
        <v>40</v>
      </c>
      <c r="C161" t="s">
        <v>1458</v>
      </c>
    </row>
    <row r="162" spans="1:3" x14ac:dyDescent="0.25">
      <c r="A162" s="1" t="s">
        <v>1459</v>
      </c>
      <c r="B162">
        <v>0.35</v>
      </c>
      <c r="C162" t="s">
        <v>1460</v>
      </c>
    </row>
    <row r="163" spans="1:3" x14ac:dyDescent="0.25">
      <c r="A163" s="1" t="s">
        <v>1461</v>
      </c>
      <c r="B163">
        <v>0.25</v>
      </c>
      <c r="C163" t="s">
        <v>1462</v>
      </c>
    </row>
    <row r="164" spans="1:3" x14ac:dyDescent="0.25">
      <c r="A164" s="1" t="s">
        <v>1463</v>
      </c>
      <c r="B164">
        <v>0.25</v>
      </c>
      <c r="C164" t="s">
        <v>1464</v>
      </c>
    </row>
    <row r="165" spans="1:3" x14ac:dyDescent="0.25">
      <c r="A165" s="1" t="s">
        <v>1465</v>
      </c>
      <c r="B165">
        <v>25</v>
      </c>
      <c r="C165" t="s">
        <v>1466</v>
      </c>
    </row>
    <row r="166" spans="1:3" x14ac:dyDescent="0.25">
      <c r="A166" s="1" t="s">
        <v>1467</v>
      </c>
      <c r="B166">
        <v>3.8</v>
      </c>
      <c r="C166" t="s">
        <v>1468</v>
      </c>
    </row>
    <row r="167" spans="1:3" x14ac:dyDescent="0.25">
      <c r="A167" s="1" t="s">
        <v>1469</v>
      </c>
      <c r="B167">
        <v>2.6</v>
      </c>
      <c r="C167" t="s">
        <v>1470</v>
      </c>
    </row>
    <row r="168" spans="1:3" x14ac:dyDescent="0.25">
      <c r="A168" s="1" t="s">
        <v>1471</v>
      </c>
      <c r="B168">
        <v>2.6</v>
      </c>
      <c r="C168" t="s">
        <v>1472</v>
      </c>
    </row>
    <row r="169" spans="1:3" x14ac:dyDescent="0.25">
      <c r="A169" s="1" t="s">
        <v>1473</v>
      </c>
      <c r="B169">
        <v>2.1</v>
      </c>
      <c r="C169" t="s">
        <v>1474</v>
      </c>
    </row>
    <row r="170" spans="1:3" x14ac:dyDescent="0.25">
      <c r="A170" s="1" t="s">
        <v>1475</v>
      </c>
      <c r="B170">
        <v>1.6</v>
      </c>
      <c r="C170" t="s">
        <v>1476</v>
      </c>
    </row>
    <row r="171" spans="1:3" x14ac:dyDescent="0.25">
      <c r="A171" s="1" t="s">
        <v>1477</v>
      </c>
      <c r="B171">
        <v>1.2</v>
      </c>
      <c r="C171" t="s">
        <v>1478</v>
      </c>
    </row>
    <row r="172" spans="1:3" x14ac:dyDescent="0.25">
      <c r="A172" s="1" t="s">
        <v>1479</v>
      </c>
      <c r="B172">
        <v>1</v>
      </c>
      <c r="C172" t="s">
        <v>1480</v>
      </c>
    </row>
    <row r="173" spans="1:3" x14ac:dyDescent="0.25">
      <c r="A173" s="1" t="s">
        <v>1481</v>
      </c>
      <c r="B173">
        <v>0.75</v>
      </c>
      <c r="C173" t="s">
        <v>1470</v>
      </c>
    </row>
    <row r="174" spans="1:3" x14ac:dyDescent="0.25">
      <c r="A174" s="1" t="s">
        <v>1482</v>
      </c>
      <c r="B174">
        <v>30</v>
      </c>
      <c r="C174" t="s">
        <v>1483</v>
      </c>
    </row>
    <row r="175" spans="1:3" x14ac:dyDescent="0.25">
      <c r="A175" s="1" t="s">
        <v>1484</v>
      </c>
      <c r="B175">
        <v>26</v>
      </c>
      <c r="C175" t="s">
        <v>1485</v>
      </c>
    </row>
    <row r="176" spans="1:3" x14ac:dyDescent="0.25">
      <c r="A176" s="1" t="s">
        <v>1486</v>
      </c>
      <c r="B176">
        <v>2.6</v>
      </c>
      <c r="C176" t="s">
        <v>1487</v>
      </c>
    </row>
    <row r="177" spans="1:3" x14ac:dyDescent="0.25">
      <c r="A177" s="1" t="s">
        <v>1488</v>
      </c>
      <c r="B177">
        <v>0.9</v>
      </c>
      <c r="C177" t="s">
        <v>1489</v>
      </c>
    </row>
    <row r="178" spans="1:3" x14ac:dyDescent="0.25">
      <c r="A178" s="1" t="s">
        <v>1490</v>
      </c>
      <c r="B178">
        <v>1.4</v>
      </c>
      <c r="C178" t="s">
        <v>1491</v>
      </c>
    </row>
    <row r="179" spans="1:3" x14ac:dyDescent="0.25">
      <c r="A179" s="1" t="s">
        <v>1492</v>
      </c>
      <c r="B179">
        <v>100</v>
      </c>
      <c r="C179" t="s">
        <v>1493</v>
      </c>
    </row>
    <row r="180" spans="1:3" x14ac:dyDescent="0.25">
      <c r="A180" s="1" t="s">
        <v>1494</v>
      </c>
      <c r="B180">
        <v>110</v>
      </c>
      <c r="C180" t="s">
        <v>1495</v>
      </c>
    </row>
    <row r="181" spans="1:3" x14ac:dyDescent="0.25">
      <c r="A181" s="1" t="s">
        <v>1496</v>
      </c>
      <c r="B181">
        <v>35</v>
      </c>
      <c r="C181" t="s">
        <v>1497</v>
      </c>
    </row>
    <row r="182" spans="1:3" x14ac:dyDescent="0.25">
      <c r="A182" s="1" t="s">
        <v>1498</v>
      </c>
      <c r="B182">
        <v>1600</v>
      </c>
      <c r="C182" t="s">
        <v>1499</v>
      </c>
    </row>
    <row r="183" spans="1:3" x14ac:dyDescent="0.25">
      <c r="A183" s="1" t="s">
        <v>1500</v>
      </c>
      <c r="B183">
        <v>60</v>
      </c>
      <c r="C183" t="s">
        <v>1501</v>
      </c>
    </row>
    <row r="184" spans="1:3" x14ac:dyDescent="0.25">
      <c r="A184" s="1" t="s">
        <v>1502</v>
      </c>
      <c r="B184">
        <v>8</v>
      </c>
      <c r="C184" t="s">
        <v>1503</v>
      </c>
    </row>
    <row r="185" spans="1:3" x14ac:dyDescent="0.25">
      <c r="A185" s="1" t="s">
        <v>1504</v>
      </c>
      <c r="B185">
        <v>9</v>
      </c>
      <c r="C185" t="s">
        <v>1505</v>
      </c>
    </row>
    <row r="186" spans="1:3" x14ac:dyDescent="0.25">
      <c r="A186" s="1" t="s">
        <v>1506</v>
      </c>
      <c r="B186">
        <v>8</v>
      </c>
      <c r="C186" t="s">
        <v>1507</v>
      </c>
    </row>
    <row r="187" spans="1:3" x14ac:dyDescent="0.25">
      <c r="A187" s="1" t="s">
        <v>1508</v>
      </c>
      <c r="B187">
        <v>2.2</v>
      </c>
      <c r="C187" t="s">
        <v>1509</v>
      </c>
    </row>
    <row r="188" spans="1:3" x14ac:dyDescent="0.25">
      <c r="A188" s="1" t="s">
        <v>1510</v>
      </c>
      <c r="B188">
        <v>7</v>
      </c>
      <c r="C188" t="s">
        <v>1511</v>
      </c>
    </row>
    <row r="189" spans="1:3" x14ac:dyDescent="0.25">
      <c r="A189" s="1" t="s">
        <v>1512</v>
      </c>
      <c r="B189">
        <v>4</v>
      </c>
      <c r="C189" t="s">
        <v>1513</v>
      </c>
    </row>
    <row r="190" spans="1:3" x14ac:dyDescent="0.25">
      <c r="A190" s="1" t="s">
        <v>1514</v>
      </c>
      <c r="B190">
        <v>1.4</v>
      </c>
      <c r="C190" t="s">
        <v>1515</v>
      </c>
    </row>
    <row r="191" spans="1:3" x14ac:dyDescent="0.25">
      <c r="A191" s="1" t="s">
        <v>1516</v>
      </c>
      <c r="B191">
        <v>2.5</v>
      </c>
      <c r="C191" t="s">
        <v>1517</v>
      </c>
    </row>
    <row r="192" spans="1:3" x14ac:dyDescent="0.25">
      <c r="A192" s="1" t="s">
        <v>1518</v>
      </c>
      <c r="B192">
        <v>16</v>
      </c>
      <c r="C192" t="s">
        <v>1519</v>
      </c>
    </row>
    <row r="193" spans="1:3" x14ac:dyDescent="0.25">
      <c r="A193" s="1" t="s">
        <v>1520</v>
      </c>
      <c r="B193">
        <v>90</v>
      </c>
      <c r="C193" t="s">
        <v>1521</v>
      </c>
    </row>
    <row r="194" spans="1:3" x14ac:dyDescent="0.25">
      <c r="A194" s="1" t="s">
        <v>1522</v>
      </c>
      <c r="B194">
        <v>120</v>
      </c>
      <c r="C194" t="s">
        <v>1523</v>
      </c>
    </row>
    <row r="195" spans="1:3" x14ac:dyDescent="0.25">
      <c r="A195" s="1" t="s">
        <v>1524</v>
      </c>
      <c r="B195">
        <v>70</v>
      </c>
      <c r="C195" t="s">
        <v>1525</v>
      </c>
    </row>
    <row r="196" spans="1:3" x14ac:dyDescent="0.25">
      <c r="A196" s="1" t="s">
        <v>1526</v>
      </c>
      <c r="B196">
        <v>3</v>
      </c>
      <c r="C196" t="s">
        <v>1527</v>
      </c>
    </row>
    <row r="197" spans="1:3" x14ac:dyDescent="0.25">
      <c r="A197" s="1" t="s">
        <v>1528</v>
      </c>
      <c r="B197">
        <v>14</v>
      </c>
      <c r="C197" t="s">
        <v>1529</v>
      </c>
    </row>
    <row r="198" spans="1:3" x14ac:dyDescent="0.25">
      <c r="A198" s="1" t="s">
        <v>1530</v>
      </c>
      <c r="B198">
        <v>75</v>
      </c>
      <c r="C198" t="s">
        <v>1531</v>
      </c>
    </row>
    <row r="199" spans="1:3" x14ac:dyDescent="0.25">
      <c r="A199" s="1" t="s">
        <v>1532</v>
      </c>
      <c r="B199">
        <v>2.5</v>
      </c>
      <c r="C199" t="s">
        <v>1533</v>
      </c>
    </row>
    <row r="200" spans="1:3" x14ac:dyDescent="0.25">
      <c r="A200" s="1" t="s">
        <v>1534</v>
      </c>
      <c r="B200">
        <v>8</v>
      </c>
      <c r="C200" t="s">
        <v>1535</v>
      </c>
    </row>
    <row r="201" spans="1:3" x14ac:dyDescent="0.25">
      <c r="A201" s="1" t="s">
        <v>1536</v>
      </c>
      <c r="B201">
        <v>20</v>
      </c>
      <c r="C201" t="s">
        <v>1537</v>
      </c>
    </row>
    <row r="202" spans="1:3" x14ac:dyDescent="0.25">
      <c r="A202" s="1" t="s">
        <v>1538</v>
      </c>
      <c r="B202">
        <v>120</v>
      </c>
      <c r="C202" t="s">
        <v>1539</v>
      </c>
    </row>
    <row r="203" spans="1:3" x14ac:dyDescent="0.25">
      <c r="A203" s="1" t="s">
        <v>1540</v>
      </c>
      <c r="B203">
        <v>2.5</v>
      </c>
      <c r="C203" t="s">
        <v>1541</v>
      </c>
    </row>
    <row r="204" spans="1:3" x14ac:dyDescent="0.25">
      <c r="A204" s="1" t="s">
        <v>1542</v>
      </c>
      <c r="B204">
        <v>3</v>
      </c>
      <c r="C204" t="s">
        <v>1543</v>
      </c>
    </row>
    <row r="205" spans="1:3" x14ac:dyDescent="0.25">
      <c r="A205" s="1" t="s">
        <v>1544</v>
      </c>
      <c r="B205">
        <v>70</v>
      </c>
      <c r="C205" t="s">
        <v>1545</v>
      </c>
    </row>
    <row r="206" spans="1:3" x14ac:dyDescent="0.25">
      <c r="A206" s="1" t="s">
        <v>1546</v>
      </c>
      <c r="B206">
        <v>80</v>
      </c>
      <c r="C206" t="s">
        <v>1547</v>
      </c>
    </row>
    <row r="207" spans="1:3" x14ac:dyDescent="0.25">
      <c r="A207" s="1" t="s">
        <v>1548</v>
      </c>
      <c r="B207">
        <v>6</v>
      </c>
      <c r="C207" t="s">
        <v>1549</v>
      </c>
    </row>
    <row r="208" spans="1:3" x14ac:dyDescent="0.25">
      <c r="A208" s="1" t="s">
        <v>1550</v>
      </c>
      <c r="B208">
        <v>5</v>
      </c>
      <c r="C208" t="s">
        <v>1551</v>
      </c>
    </row>
    <row r="209" spans="1:3" x14ac:dyDescent="0.25">
      <c r="A209" s="1" t="s">
        <v>1552</v>
      </c>
      <c r="B209">
        <v>80</v>
      </c>
      <c r="C209" t="s">
        <v>1553</v>
      </c>
    </row>
    <row r="210" spans="1:3" x14ac:dyDescent="0.25">
      <c r="A210" s="1" t="s">
        <v>1554</v>
      </c>
      <c r="B210">
        <v>2600</v>
      </c>
      <c r="C210" t="s">
        <v>1555</v>
      </c>
    </row>
    <row r="211" spans="1:3" x14ac:dyDescent="0.25">
      <c r="A211" s="1" t="s">
        <v>1556</v>
      </c>
      <c r="B211">
        <v>11</v>
      </c>
      <c r="C211" t="s">
        <v>1557</v>
      </c>
    </row>
    <row r="212" spans="1:3" x14ac:dyDescent="0.25">
      <c r="A212" s="1" t="s">
        <v>1558</v>
      </c>
      <c r="B212">
        <v>1</v>
      </c>
      <c r="C212" t="s">
        <v>1559</v>
      </c>
    </row>
    <row r="213" spans="1:3" x14ac:dyDescent="0.25">
      <c r="A213" s="1" t="s">
        <v>1560</v>
      </c>
      <c r="B213">
        <v>3.5</v>
      </c>
      <c r="C213" t="s">
        <v>1561</v>
      </c>
    </row>
    <row r="214" spans="1:3" x14ac:dyDescent="0.25">
      <c r="A214" s="1" t="s">
        <v>1562</v>
      </c>
      <c r="B214">
        <v>26</v>
      </c>
      <c r="C214" t="s">
        <v>1563</v>
      </c>
    </row>
    <row r="215" spans="1:3" x14ac:dyDescent="0.25">
      <c r="A215" s="1" t="s">
        <v>1564</v>
      </c>
      <c r="B215">
        <v>1.1</v>
      </c>
      <c r="C215" t="s">
        <v>1565</v>
      </c>
    </row>
    <row r="216" spans="1:3" x14ac:dyDescent="0.25">
      <c r="A216" s="1" t="s">
        <v>1566</v>
      </c>
      <c r="B216">
        <v>2400</v>
      </c>
      <c r="C216" t="s">
        <v>1567</v>
      </c>
    </row>
    <row r="217" spans="1:3" x14ac:dyDescent="0.25">
      <c r="A217" s="1" t="s">
        <v>1568</v>
      </c>
      <c r="B217">
        <v>10</v>
      </c>
      <c r="C217" t="s">
        <v>1569</v>
      </c>
    </row>
    <row r="218" spans="1:3" x14ac:dyDescent="0.25">
      <c r="A218" s="1" t="s">
        <v>1570</v>
      </c>
      <c r="B218">
        <v>3.2</v>
      </c>
      <c r="C218" t="s">
        <v>1571</v>
      </c>
    </row>
    <row r="219" spans="1:3" x14ac:dyDescent="0.25">
      <c r="A219" s="1" t="s">
        <v>1572</v>
      </c>
      <c r="B219">
        <v>2.2</v>
      </c>
      <c r="C219" t="s">
        <v>1573</v>
      </c>
    </row>
    <row r="220" spans="1:3" x14ac:dyDescent="0.25">
      <c r="A220" s="1" t="s">
        <v>1574</v>
      </c>
      <c r="B220">
        <v>3.5</v>
      </c>
      <c r="C220" t="s">
        <v>1575</v>
      </c>
    </row>
    <row r="221" spans="1:3" x14ac:dyDescent="0.25">
      <c r="A221" s="1" t="s">
        <v>1576</v>
      </c>
      <c r="B221">
        <v>20</v>
      </c>
      <c r="C221" t="s">
        <v>1577</v>
      </c>
    </row>
    <row r="222" spans="1:3" x14ac:dyDescent="0.25">
      <c r="A222" s="1" t="s">
        <v>1578</v>
      </c>
      <c r="B222">
        <v>2000</v>
      </c>
      <c r="C222" t="s">
        <v>1579</v>
      </c>
    </row>
    <row r="223" spans="1:3" x14ac:dyDescent="0.25">
      <c r="A223" s="1" t="s">
        <v>1580</v>
      </c>
      <c r="B223">
        <v>24</v>
      </c>
      <c r="C223" t="s">
        <v>1581</v>
      </c>
    </row>
    <row r="224" spans="1:3" x14ac:dyDescent="0.25">
      <c r="A224" s="1" t="s">
        <v>1582</v>
      </c>
      <c r="B224">
        <v>0.3</v>
      </c>
      <c r="C224" t="s">
        <v>1583</v>
      </c>
    </row>
    <row r="225" spans="1:3" x14ac:dyDescent="0.25">
      <c r="A225" s="1" t="s">
        <v>1584</v>
      </c>
      <c r="B225">
        <v>12</v>
      </c>
      <c r="C225" t="s">
        <v>1585</v>
      </c>
    </row>
    <row r="226" spans="1:3" x14ac:dyDescent="0.25">
      <c r="A226" s="1" t="s">
        <v>1586</v>
      </c>
      <c r="B226">
        <v>5</v>
      </c>
      <c r="C226" t="s">
        <v>1587</v>
      </c>
    </row>
    <row r="227" spans="1:3" x14ac:dyDescent="0.25">
      <c r="A227" s="1" t="s">
        <v>1588</v>
      </c>
      <c r="B227">
        <v>15</v>
      </c>
      <c r="C227" t="s">
        <v>1589</v>
      </c>
    </row>
    <row r="228" spans="1:3" x14ac:dyDescent="0.25">
      <c r="A228" s="1" t="s">
        <v>1590</v>
      </c>
      <c r="B228">
        <v>8</v>
      </c>
      <c r="C228" t="s">
        <v>1591</v>
      </c>
    </row>
    <row r="229" spans="1:3" x14ac:dyDescent="0.25">
      <c r="A229" s="1" t="s">
        <v>1592</v>
      </c>
      <c r="B229">
        <v>0.9</v>
      </c>
      <c r="C229" t="s">
        <v>1593</v>
      </c>
    </row>
    <row r="230" spans="1:3" x14ac:dyDescent="0.25">
      <c r="A230" s="1" t="s">
        <v>1594</v>
      </c>
      <c r="B230">
        <v>3.2</v>
      </c>
      <c r="C230" t="s">
        <v>1595</v>
      </c>
    </row>
    <row r="231" spans="1:3" x14ac:dyDescent="0.25">
      <c r="A231" s="1" t="s">
        <v>1596</v>
      </c>
      <c r="B231">
        <v>11</v>
      </c>
      <c r="C231" t="s">
        <v>1597</v>
      </c>
    </row>
    <row r="232" spans="1:3" x14ac:dyDescent="0.25">
      <c r="A232" s="1" t="s">
        <v>1598</v>
      </c>
      <c r="B232">
        <v>2.6</v>
      </c>
      <c r="C232" t="s">
        <v>1599</v>
      </c>
    </row>
    <row r="233" spans="1:3" x14ac:dyDescent="0.25">
      <c r="A233" s="1" t="s">
        <v>1600</v>
      </c>
      <c r="B233">
        <v>22</v>
      </c>
      <c r="C233" t="s">
        <v>1601</v>
      </c>
    </row>
    <row r="234" spans="1:3" x14ac:dyDescent="0.25">
      <c r="A234" s="1" t="s">
        <v>1602</v>
      </c>
      <c r="B234">
        <v>5</v>
      </c>
      <c r="C234" t="s">
        <v>1603</v>
      </c>
    </row>
    <row r="235" spans="1:3" x14ac:dyDescent="0.25">
      <c r="A235" s="1" t="s">
        <v>1604</v>
      </c>
      <c r="B235">
        <v>0.8</v>
      </c>
      <c r="C235" t="s">
        <v>1605</v>
      </c>
    </row>
    <row r="236" spans="1:3" x14ac:dyDescent="0.25">
      <c r="A236" s="1" t="s">
        <v>1606</v>
      </c>
      <c r="B236">
        <v>1.5</v>
      </c>
      <c r="C236" t="s">
        <v>1607</v>
      </c>
    </row>
    <row r="237" spans="1:3" x14ac:dyDescent="0.25">
      <c r="A237" s="1" t="s">
        <v>1608</v>
      </c>
      <c r="B237">
        <v>6</v>
      </c>
      <c r="C237" t="s">
        <v>1609</v>
      </c>
    </row>
    <row r="238" spans="1:3" x14ac:dyDescent="0.25">
      <c r="A238" s="1" t="s">
        <v>1610</v>
      </c>
      <c r="B238">
        <v>2.2</v>
      </c>
      <c r="C238" t="s">
        <v>1611</v>
      </c>
    </row>
    <row r="239" spans="1:3" x14ac:dyDescent="0.25">
      <c r="A239" s="1" t="s">
        <v>1612</v>
      </c>
      <c r="B239">
        <v>2.5</v>
      </c>
      <c r="C239" t="s">
        <v>1613</v>
      </c>
    </row>
    <row r="240" spans="1:3" x14ac:dyDescent="0.25">
      <c r="A240" s="1" t="s">
        <v>1614</v>
      </c>
      <c r="B240">
        <v>8</v>
      </c>
      <c r="C240" t="s">
        <v>1615</v>
      </c>
    </row>
    <row r="241" spans="1:3" x14ac:dyDescent="0.25">
      <c r="A241" s="1" t="s">
        <v>1616</v>
      </c>
      <c r="B241">
        <v>1.1</v>
      </c>
      <c r="C241" t="s">
        <v>1617</v>
      </c>
    </row>
    <row r="242" spans="1:3" x14ac:dyDescent="0.25">
      <c r="A242" s="1" t="s">
        <v>1618</v>
      </c>
      <c r="B242">
        <v>9</v>
      </c>
      <c r="C242" t="s">
        <v>1619</v>
      </c>
    </row>
    <row r="243" spans="1:3" x14ac:dyDescent="0.25">
      <c r="A243" s="1" t="s">
        <v>1620</v>
      </c>
      <c r="B243">
        <v>5</v>
      </c>
      <c r="C243" t="s">
        <v>1621</v>
      </c>
    </row>
    <row r="244" spans="1:3" x14ac:dyDescent="0.25">
      <c r="A244" s="1" t="s">
        <v>1622</v>
      </c>
      <c r="B244">
        <v>2.6</v>
      </c>
      <c r="C244" t="s">
        <v>1623</v>
      </c>
    </row>
    <row r="245" spans="1:3" x14ac:dyDescent="0.25">
      <c r="A245" s="1" t="s">
        <v>1624</v>
      </c>
      <c r="B245">
        <v>6</v>
      </c>
      <c r="C245" t="s">
        <v>1625</v>
      </c>
    </row>
    <row r="246" spans="1:3" x14ac:dyDescent="0.25">
      <c r="A246" s="1" t="s">
        <v>1626</v>
      </c>
      <c r="B246">
        <v>3</v>
      </c>
      <c r="C246" t="s">
        <v>1627</v>
      </c>
    </row>
    <row r="247" spans="1:3" x14ac:dyDescent="0.25">
      <c r="A247" s="1" t="s">
        <v>1628</v>
      </c>
      <c r="B247">
        <v>1.1</v>
      </c>
      <c r="C247" t="s">
        <v>1629</v>
      </c>
    </row>
    <row r="248" spans="1:3" x14ac:dyDescent="0.25">
      <c r="A248" s="1" t="s">
        <v>1630</v>
      </c>
      <c r="B248">
        <v>2.2</v>
      </c>
      <c r="C248" t="s">
        <v>1631</v>
      </c>
    </row>
    <row r="249" spans="1:3" x14ac:dyDescent="0.25">
      <c r="A249" s="1" t="s">
        <v>1632</v>
      </c>
      <c r="B249">
        <v>0.15</v>
      </c>
      <c r="C249" t="s">
        <v>1633</v>
      </c>
    </row>
    <row r="250" spans="1:3" x14ac:dyDescent="0.25">
      <c r="A250" s="1" t="s">
        <v>1634</v>
      </c>
      <c r="B250">
        <v>50</v>
      </c>
      <c r="C250" t="s">
        <v>1635</v>
      </c>
    </row>
    <row r="251" spans="1:3" x14ac:dyDescent="0.25">
      <c r="A251" s="1" t="s">
        <v>1636</v>
      </c>
      <c r="B251">
        <v>0.9</v>
      </c>
      <c r="C251" t="s">
        <v>1637</v>
      </c>
    </row>
    <row r="252" spans="1:3" x14ac:dyDescent="0.25">
      <c r="A252" s="1" t="s">
        <v>1638</v>
      </c>
      <c r="B252">
        <v>4.5</v>
      </c>
      <c r="C252" t="s">
        <v>1639</v>
      </c>
    </row>
    <row r="253" spans="1:3" x14ac:dyDescent="0.25">
      <c r="A253" s="1" t="s">
        <v>1640</v>
      </c>
      <c r="B253">
        <v>1.3</v>
      </c>
      <c r="C253" t="s">
        <v>1641</v>
      </c>
    </row>
    <row r="254" spans="1:3" x14ac:dyDescent="0.25">
      <c r="A254" s="1" t="s">
        <v>1642</v>
      </c>
      <c r="B254">
        <v>4</v>
      </c>
      <c r="C254" t="s">
        <v>1643</v>
      </c>
    </row>
    <row r="255" spans="1:3" x14ac:dyDescent="0.25">
      <c r="A255" s="1" t="s">
        <v>1644</v>
      </c>
      <c r="B255">
        <v>18</v>
      </c>
      <c r="C255" t="s">
        <v>1645</v>
      </c>
    </row>
    <row r="256" spans="1:3" x14ac:dyDescent="0.25">
      <c r="A256" s="1" t="s">
        <v>1646</v>
      </c>
      <c r="B256">
        <v>60</v>
      </c>
      <c r="C256" t="s">
        <v>1647</v>
      </c>
    </row>
    <row r="257" spans="1:3" x14ac:dyDescent="0.25">
      <c r="A257" s="1" t="s">
        <v>1648</v>
      </c>
      <c r="B257">
        <v>2.6</v>
      </c>
      <c r="C257" t="s">
        <v>1649</v>
      </c>
    </row>
    <row r="258" spans="1:3" x14ac:dyDescent="0.25">
      <c r="A258" s="1" t="s">
        <v>1650</v>
      </c>
      <c r="B258">
        <v>0.7</v>
      </c>
      <c r="C258" t="s">
        <v>1651</v>
      </c>
    </row>
    <row r="259" spans="1:3" x14ac:dyDescent="0.25">
      <c r="A259" s="1" t="s">
        <v>1652</v>
      </c>
      <c r="B259">
        <v>16</v>
      </c>
      <c r="C259" t="s">
        <v>1653</v>
      </c>
    </row>
    <row r="260" spans="1:3" x14ac:dyDescent="0.25">
      <c r="A260" s="1" t="s">
        <v>1654</v>
      </c>
      <c r="B260">
        <v>10</v>
      </c>
      <c r="C260" t="s">
        <v>1655</v>
      </c>
    </row>
    <row r="261" spans="1:3" x14ac:dyDescent="0.25">
      <c r="A261" s="1" t="s">
        <v>1656</v>
      </c>
      <c r="B261">
        <v>10</v>
      </c>
      <c r="C261" t="s">
        <v>1657</v>
      </c>
    </row>
    <row r="262" spans="1:3" x14ac:dyDescent="0.25">
      <c r="A262" s="1" t="s">
        <v>1658</v>
      </c>
      <c r="B262">
        <v>0.15</v>
      </c>
      <c r="C262" t="s">
        <v>1659</v>
      </c>
    </row>
    <row r="263" spans="1:3" x14ac:dyDescent="0.25">
      <c r="A263" s="1" t="s">
        <v>1660</v>
      </c>
      <c r="B263">
        <v>0.5</v>
      </c>
      <c r="C263" t="s">
        <v>1661</v>
      </c>
    </row>
    <row r="264" spans="1:3" x14ac:dyDescent="0.25">
      <c r="A264" s="1" t="s">
        <v>1662</v>
      </c>
      <c r="B264">
        <v>4</v>
      </c>
      <c r="C264" t="s">
        <v>1663</v>
      </c>
    </row>
    <row r="265" spans="1:3" x14ac:dyDescent="0.25">
      <c r="A265" s="1" t="s">
        <v>1664</v>
      </c>
      <c r="B265">
        <v>7</v>
      </c>
      <c r="C265" t="s">
        <v>1665</v>
      </c>
    </row>
    <row r="266" spans="1:3" x14ac:dyDescent="0.25">
      <c r="A266" s="1" t="s">
        <v>1666</v>
      </c>
      <c r="B266">
        <v>2</v>
      </c>
      <c r="C266" t="s">
        <v>1667</v>
      </c>
    </row>
    <row r="267" spans="1:3" x14ac:dyDescent="0.25">
      <c r="A267" s="1" t="s">
        <v>1668</v>
      </c>
      <c r="B267">
        <v>4</v>
      </c>
      <c r="C267" t="s">
        <v>1669</v>
      </c>
    </row>
    <row r="268" spans="1:3" x14ac:dyDescent="0.25">
      <c r="A268" s="1" t="s">
        <v>1670</v>
      </c>
      <c r="B268">
        <v>1.3</v>
      </c>
      <c r="C268" t="s">
        <v>1671</v>
      </c>
    </row>
    <row r="269" spans="1:3" x14ac:dyDescent="0.25">
      <c r="A269" s="1" t="s">
        <v>1672</v>
      </c>
      <c r="B269">
        <v>3.2</v>
      </c>
      <c r="C269" t="s">
        <v>1673</v>
      </c>
    </row>
    <row r="270" spans="1:3" x14ac:dyDescent="0.25">
      <c r="A270" s="1" t="s">
        <v>1674</v>
      </c>
      <c r="B270">
        <v>16</v>
      </c>
      <c r="C270" t="s">
        <v>1675</v>
      </c>
    </row>
    <row r="271" spans="1:3" x14ac:dyDescent="0.25">
      <c r="A271" s="1" t="s">
        <v>1676</v>
      </c>
      <c r="B271">
        <v>7</v>
      </c>
      <c r="C271" t="s">
        <v>1677</v>
      </c>
    </row>
    <row r="272" spans="1:3" x14ac:dyDescent="0.25">
      <c r="A272" s="1" t="s">
        <v>1678</v>
      </c>
      <c r="B272">
        <v>2.5</v>
      </c>
      <c r="C272" t="s">
        <v>1679</v>
      </c>
    </row>
    <row r="273" spans="1:3" x14ac:dyDescent="0.25">
      <c r="A273" s="1" t="s">
        <v>1680</v>
      </c>
      <c r="B273">
        <v>1.4</v>
      </c>
      <c r="C273" t="s">
        <v>1681</v>
      </c>
    </row>
    <row r="274" spans="1:3" x14ac:dyDescent="0.25">
      <c r="A274" s="1" t="s">
        <v>1682</v>
      </c>
      <c r="B274">
        <v>2</v>
      </c>
      <c r="C274" t="s">
        <v>1683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11" customWidth="1"/>
    <col min="3" max="3" width="95" customWidth="1"/>
  </cols>
  <sheetData>
    <row r="1" spans="1:3" x14ac:dyDescent="0.25">
      <c r="A1" s="2" t="s">
        <v>6</v>
      </c>
      <c r="B1" s="3" t="s">
        <v>509</v>
      </c>
      <c r="C1" s="3" t="s">
        <v>510</v>
      </c>
    </row>
    <row r="2" ht="78" customHeight="1" spans="1:3" x14ac:dyDescent="0.25">
      <c r="A2" s="4" t="s">
        <v>218</v>
      </c>
      <c r="B2" s="5" t="s">
        <v>511</v>
      </c>
      <c r="C2" s="5" t="s">
        <v>512</v>
      </c>
    </row>
    <row r="3" spans="1:3" x14ac:dyDescent="0.25">
      <c r="A3" s="1" t="s">
        <v>1684</v>
      </c>
      <c r="B3">
        <v>100</v>
      </c>
      <c r="C3" t="s">
        <v>1685</v>
      </c>
    </row>
    <row r="4" spans="1:3" x14ac:dyDescent="0.25">
      <c r="A4" s="1" t="s">
        <v>1686</v>
      </c>
      <c r="B4">
        <v>0.55</v>
      </c>
      <c r="C4" t="s">
        <v>1687</v>
      </c>
    </row>
    <row r="5" spans="1:3" x14ac:dyDescent="0.25">
      <c r="A5" s="1" t="s">
        <v>1688</v>
      </c>
      <c r="B5">
        <v>1.15</v>
      </c>
      <c r="C5" t="s">
        <v>1689</v>
      </c>
    </row>
    <row r="6" spans="1:3" x14ac:dyDescent="0.25">
      <c r="A6" s="1" t="s">
        <v>1690</v>
      </c>
      <c r="B6">
        <v>0.08</v>
      </c>
      <c r="C6" t="s">
        <v>1691</v>
      </c>
    </row>
    <row r="7" spans="1:3" x14ac:dyDescent="0.25">
      <c r="A7" s="1" t="s">
        <v>1692</v>
      </c>
      <c r="B7">
        <v>0.95</v>
      </c>
      <c r="C7" t="s">
        <v>1693</v>
      </c>
    </row>
    <row r="8" spans="1:3" x14ac:dyDescent="0.25">
      <c r="A8" s="1" t="s">
        <v>1694</v>
      </c>
      <c r="B8">
        <v>120</v>
      </c>
      <c r="C8" t="s">
        <v>1695</v>
      </c>
    </row>
    <row r="9" spans="1:3" x14ac:dyDescent="0.25">
      <c r="A9" s="1" t="s">
        <v>1696</v>
      </c>
      <c r="B9">
        <v>1.25</v>
      </c>
      <c r="C9" t="s">
        <v>1697</v>
      </c>
    </row>
    <row r="10" spans="1:3" x14ac:dyDescent="0.25">
      <c r="A10" s="1" t="s">
        <v>1698</v>
      </c>
      <c r="B10">
        <v>1.35</v>
      </c>
      <c r="C10" t="s">
        <v>1699</v>
      </c>
    </row>
    <row r="11" spans="1:3" x14ac:dyDescent="0.25">
      <c r="A11" s="1" t="s">
        <v>1700</v>
      </c>
      <c r="B11">
        <v>1.05</v>
      </c>
      <c r="C11" t="s">
        <v>1701</v>
      </c>
    </row>
    <row r="12" spans="1:3" x14ac:dyDescent="0.25">
      <c r="A12" s="1" t="s">
        <v>1702</v>
      </c>
      <c r="B12">
        <v>2.65</v>
      </c>
      <c r="C12" t="s">
        <v>1703</v>
      </c>
    </row>
    <row r="13" spans="1:3" x14ac:dyDescent="0.25">
      <c r="A13" s="1" t="s">
        <v>1704</v>
      </c>
      <c r="B13">
        <v>0.35</v>
      </c>
      <c r="C13" t="s">
        <v>1705</v>
      </c>
    </row>
    <row r="14" spans="1:3" x14ac:dyDescent="0.25">
      <c r="A14" s="1" t="s">
        <v>1706</v>
      </c>
      <c r="B14">
        <v>0.08</v>
      </c>
      <c r="C14" t="s">
        <v>1707</v>
      </c>
    </row>
    <row r="15" spans="1:3" x14ac:dyDescent="0.25">
      <c r="A15" s="1" t="s">
        <v>1708</v>
      </c>
      <c r="B15">
        <v>3</v>
      </c>
      <c r="C15" t="s">
        <v>1709</v>
      </c>
    </row>
    <row r="16" spans="1:3" x14ac:dyDescent="0.25">
      <c r="A16" s="1" t="s">
        <v>1710</v>
      </c>
      <c r="B16">
        <v>1</v>
      </c>
      <c r="C16" t="s">
        <v>1711</v>
      </c>
    </row>
    <row r="17" spans="1:3" x14ac:dyDescent="0.25">
      <c r="A17" s="1" t="s">
        <v>1712</v>
      </c>
      <c r="B17">
        <v>3.2</v>
      </c>
      <c r="C17" t="s">
        <v>1713</v>
      </c>
    </row>
    <row r="18" spans="1:3" x14ac:dyDescent="0.25">
      <c r="A18" s="1" t="s">
        <v>1714</v>
      </c>
      <c r="B18">
        <v>0.55</v>
      </c>
      <c r="C18" t="s">
        <v>1715</v>
      </c>
    </row>
    <row r="19" spans="1:3" x14ac:dyDescent="0.25">
      <c r="A19" s="1" t="s">
        <v>1716</v>
      </c>
      <c r="B19">
        <v>0.12</v>
      </c>
      <c r="C19" t="s">
        <v>1717</v>
      </c>
    </row>
    <row r="20" spans="1:3" x14ac:dyDescent="0.25">
      <c r="A20" s="1" t="s">
        <v>1718</v>
      </c>
      <c r="B20">
        <v>0.1</v>
      </c>
      <c r="C20" t="s">
        <v>1719</v>
      </c>
    </row>
    <row r="21" spans="1:3" x14ac:dyDescent="0.25">
      <c r="A21" s="1" t="s">
        <v>1720</v>
      </c>
      <c r="B21">
        <v>1.28</v>
      </c>
      <c r="C21" t="s">
        <v>1721</v>
      </c>
    </row>
    <row r="22" spans="1:3" x14ac:dyDescent="0.25">
      <c r="A22" s="1" t="s">
        <v>1722</v>
      </c>
      <c r="B22">
        <v>2</v>
      </c>
      <c r="C22" t="s">
        <v>1723</v>
      </c>
    </row>
    <row r="23" spans="1:3" x14ac:dyDescent="0.25">
      <c r="A23" s="1" t="s">
        <v>1724</v>
      </c>
      <c r="B23">
        <v>0.32</v>
      </c>
      <c r="C23" t="s">
        <v>1725</v>
      </c>
    </row>
    <row r="24" spans="1:3" x14ac:dyDescent="0.25">
      <c r="A24" s="1" t="s">
        <v>1726</v>
      </c>
      <c r="B24">
        <v>26</v>
      </c>
      <c r="C24" t="s">
        <v>1727</v>
      </c>
    </row>
    <row r="25" spans="1:3" x14ac:dyDescent="0.25">
      <c r="A25" s="1" t="s">
        <v>1728</v>
      </c>
      <c r="B25">
        <v>9</v>
      </c>
      <c r="C25" t="s">
        <v>1729</v>
      </c>
    </row>
    <row r="26" spans="1:3" x14ac:dyDescent="0.25">
      <c r="A26" s="1" t="s">
        <v>1730</v>
      </c>
      <c r="B26">
        <v>0.4</v>
      </c>
      <c r="C26" t="s">
        <v>1731</v>
      </c>
    </row>
    <row r="27" spans="1:3" x14ac:dyDescent="0.25">
      <c r="A27" s="1" t="s">
        <v>1732</v>
      </c>
      <c r="B27">
        <v>0.45</v>
      </c>
      <c r="C27" t="s">
        <v>1733</v>
      </c>
    </row>
    <row r="28" spans="1:3" x14ac:dyDescent="0.25">
      <c r="A28" s="1" t="s">
        <v>1734</v>
      </c>
      <c r="B28">
        <v>0.28</v>
      </c>
      <c r="C28" t="s">
        <v>1735</v>
      </c>
    </row>
    <row r="29" spans="1:3" x14ac:dyDescent="0.25">
      <c r="A29" s="1" t="s">
        <v>1736</v>
      </c>
      <c r="B29">
        <v>0.42</v>
      </c>
      <c r="C29" t="s">
        <v>1737</v>
      </c>
    </row>
    <row r="30" spans="1:3" x14ac:dyDescent="0.25">
      <c r="A30" s="1" t="s">
        <v>1738</v>
      </c>
      <c r="B30">
        <v>0.12</v>
      </c>
      <c r="C30" t="s">
        <v>1739</v>
      </c>
    </row>
    <row r="31" spans="1:3" x14ac:dyDescent="0.25">
      <c r="A31" s="1" t="s">
        <v>1740</v>
      </c>
      <c r="B31">
        <v>0.25</v>
      </c>
      <c r="C31" t="s">
        <v>1741</v>
      </c>
    </row>
    <row r="32" spans="1:3" x14ac:dyDescent="0.25">
      <c r="A32" s="1" t="s">
        <v>1742</v>
      </c>
      <c r="B32">
        <v>8</v>
      </c>
      <c r="C32" t="s">
        <v>1743</v>
      </c>
    </row>
    <row r="33" spans="1:3" x14ac:dyDescent="0.25">
      <c r="A33" s="1" t="s">
        <v>1744</v>
      </c>
      <c r="B33">
        <v>4</v>
      </c>
      <c r="C33" t="s">
        <v>1745</v>
      </c>
    </row>
    <row r="34" spans="1:3" x14ac:dyDescent="0.25">
      <c r="A34" s="1" t="s">
        <v>1746</v>
      </c>
      <c r="B34">
        <v>3</v>
      </c>
      <c r="C34" t="s">
        <v>1747</v>
      </c>
    </row>
    <row r="35" spans="1:3" x14ac:dyDescent="0.25">
      <c r="A35" s="1" t="s">
        <v>1748</v>
      </c>
      <c r="B35">
        <v>3</v>
      </c>
      <c r="C35" t="s">
        <v>1749</v>
      </c>
    </row>
    <row r="36" spans="1:3" x14ac:dyDescent="0.25">
      <c r="A36" s="1" t="s">
        <v>1750</v>
      </c>
      <c r="B36">
        <v>0.5</v>
      </c>
      <c r="C36" t="s">
        <v>1751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26" customWidth="1"/>
    <col min="3" max="17" width="13" customWidth="1"/>
  </cols>
  <sheetData>
    <row r="1" spans="1:17" x14ac:dyDescent="0.25">
      <c r="A1" s="2" t="s">
        <v>6</v>
      </c>
      <c r="B1" s="3" t="s">
        <v>7</v>
      </c>
      <c r="C1" s="3" t="s">
        <v>1752</v>
      </c>
      <c r="D1" s="3" t="s">
        <v>1753</v>
      </c>
      <c r="E1" s="3" t="s">
        <v>1754</v>
      </c>
      <c r="F1" s="3" t="s">
        <v>1755</v>
      </c>
      <c r="G1" s="3" t="s">
        <v>1756</v>
      </c>
      <c r="H1" s="3" t="s">
        <v>349</v>
      </c>
      <c r="I1" s="3" t="s">
        <v>1757</v>
      </c>
      <c r="J1" s="3" t="s">
        <v>1758</v>
      </c>
      <c r="K1" s="3" t="s">
        <v>1759</v>
      </c>
      <c r="L1" s="3" t="s">
        <v>100</v>
      </c>
      <c r="M1" s="3" t="s">
        <v>1760</v>
      </c>
      <c r="N1" s="3" t="s">
        <v>1761</v>
      </c>
      <c r="O1" s="3" t="s">
        <v>1762</v>
      </c>
      <c r="P1" s="3" t="s">
        <v>1763</v>
      </c>
      <c r="Q1" s="3" t="s">
        <v>1764</v>
      </c>
    </row>
    <row r="2" ht="78" customHeight="1" spans="1:17" x14ac:dyDescent="0.25">
      <c r="A2" s="4" t="s">
        <v>218</v>
      </c>
      <c r="B2" s="5" t="s">
        <v>1765</v>
      </c>
      <c r="C2" s="5" t="s">
        <v>1766</v>
      </c>
      <c r="D2" s="5" t="s">
        <v>1767</v>
      </c>
      <c r="E2" s="5" t="s">
        <v>1768</v>
      </c>
      <c r="F2" s="5" t="s">
        <v>1769</v>
      </c>
      <c r="G2" s="5" t="s">
        <v>1770</v>
      </c>
      <c r="H2" s="5" t="s">
        <v>1771</v>
      </c>
      <c r="I2" s="5" t="s">
        <v>1772</v>
      </c>
      <c r="J2" s="5" t="s">
        <v>290</v>
      </c>
      <c r="K2" s="5" t="s">
        <v>1773</v>
      </c>
      <c r="L2" s="5" t="s">
        <v>1774</v>
      </c>
      <c r="M2" s="5" t="s">
        <v>1775</v>
      </c>
      <c r="N2" s="5" t="s">
        <v>1776</v>
      </c>
      <c r="O2" s="5" t="s">
        <v>1777</v>
      </c>
      <c r="P2" s="5" t="s">
        <v>1778</v>
      </c>
      <c r="Q2" s="5" t="s">
        <v>1779</v>
      </c>
    </row>
    <row r="3" spans="1:17" x14ac:dyDescent="0.25">
      <c r="A3" s="1" t="s">
        <v>1780</v>
      </c>
      <c r="B3" t="s">
        <v>1781</v>
      </c>
      <c r="C3" t="s">
        <v>1782</v>
      </c>
      <c r="D3">
        <v>1</v>
      </c>
      <c r="E3">
        <v>1</v>
      </c>
      <c r="F3">
        <v>1</v>
      </c>
      <c r="G3">
        <v>0.35</v>
      </c>
      <c r="H3">
        <v>8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0.12</v>
      </c>
    </row>
    <row r="4" spans="1:17" x14ac:dyDescent="0.25">
      <c r="A4" s="1" t="s">
        <v>1783</v>
      </c>
      <c r="B4" t="s">
        <v>1784</v>
      </c>
      <c r="C4" t="s">
        <v>1782</v>
      </c>
      <c r="D4">
        <v>1</v>
      </c>
      <c r="E4">
        <v>1</v>
      </c>
      <c r="F4">
        <v>2</v>
      </c>
      <c r="G4">
        <v>0.55</v>
      </c>
      <c r="H4">
        <v>10</v>
      </c>
      <c r="I4">
        <v>0</v>
      </c>
      <c r="J4">
        <v>1</v>
      </c>
      <c r="K4">
        <v>1.05</v>
      </c>
      <c r="L4">
        <v>0</v>
      </c>
      <c r="M4">
        <v>0</v>
      </c>
      <c r="N4">
        <v>0</v>
      </c>
      <c r="O4">
        <v>0</v>
      </c>
      <c r="P4">
        <v>0</v>
      </c>
      <c r="Q4">
        <v>0.08</v>
      </c>
    </row>
    <row r="5" spans="1:17" x14ac:dyDescent="0.25">
      <c r="A5" s="1" t="s">
        <v>1785</v>
      </c>
      <c r="B5" t="s">
        <v>1786</v>
      </c>
      <c r="C5" t="s">
        <v>1782</v>
      </c>
      <c r="D5">
        <v>2</v>
      </c>
      <c r="E5">
        <v>1</v>
      </c>
      <c r="F5">
        <v>2</v>
      </c>
      <c r="G5">
        <v>0.45</v>
      </c>
      <c r="H5">
        <v>6</v>
      </c>
      <c r="I5">
        <v>0</v>
      </c>
      <c r="J5">
        <v>1.05</v>
      </c>
      <c r="K5">
        <v>0.95</v>
      </c>
      <c r="L5">
        <v>0</v>
      </c>
      <c r="M5">
        <v>0</v>
      </c>
      <c r="N5">
        <v>0</v>
      </c>
      <c r="O5">
        <v>0</v>
      </c>
      <c r="P5">
        <v>0</v>
      </c>
      <c r="Q5">
        <v>0.06</v>
      </c>
    </row>
    <row r="6" spans="1:17" x14ac:dyDescent="0.25">
      <c r="A6" s="1" t="s">
        <v>1787</v>
      </c>
      <c r="B6" t="s">
        <v>1788</v>
      </c>
      <c r="C6" t="s">
        <v>1782</v>
      </c>
      <c r="D6">
        <v>2</v>
      </c>
      <c r="E6">
        <v>1</v>
      </c>
      <c r="F6">
        <v>1</v>
      </c>
      <c r="G6">
        <v>0.4</v>
      </c>
      <c r="H6">
        <v>7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0.1</v>
      </c>
    </row>
    <row r="7" spans="1:17" x14ac:dyDescent="0.25">
      <c r="A7" s="1" t="s">
        <v>1789</v>
      </c>
      <c r="B7" t="s">
        <v>1790</v>
      </c>
      <c r="C7" t="s">
        <v>1791</v>
      </c>
      <c r="D7">
        <v>1</v>
      </c>
      <c r="E7">
        <v>1</v>
      </c>
      <c r="F7">
        <v>1</v>
      </c>
      <c r="G7">
        <v>0.1</v>
      </c>
      <c r="H7">
        <v>4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0.05</v>
      </c>
    </row>
    <row r="8" spans="1:17" x14ac:dyDescent="0.25">
      <c r="A8" s="1" t="s">
        <v>1792</v>
      </c>
      <c r="B8" t="s">
        <v>1793</v>
      </c>
      <c r="C8" t="s">
        <v>1791</v>
      </c>
      <c r="D8">
        <v>1</v>
      </c>
      <c r="E8">
        <v>1</v>
      </c>
      <c r="F8">
        <v>1</v>
      </c>
      <c r="G8">
        <v>0.22</v>
      </c>
      <c r="H8">
        <v>5</v>
      </c>
      <c r="I8">
        <v>1</v>
      </c>
      <c r="J8">
        <v>0.9</v>
      </c>
      <c r="K8">
        <v>1.2</v>
      </c>
      <c r="L8">
        <v>0</v>
      </c>
      <c r="M8">
        <v>0</v>
      </c>
      <c r="N8">
        <v>0</v>
      </c>
      <c r="O8">
        <v>0</v>
      </c>
      <c r="P8">
        <v>0</v>
      </c>
      <c r="Q8">
        <v>0.12</v>
      </c>
    </row>
    <row r="9" spans="1:17" x14ac:dyDescent="0.25">
      <c r="A9" s="1" t="s">
        <v>1794</v>
      </c>
      <c r="B9" t="s">
        <v>1795</v>
      </c>
      <c r="C9" t="s">
        <v>1791</v>
      </c>
      <c r="D9">
        <v>1</v>
      </c>
      <c r="E9">
        <v>1</v>
      </c>
      <c r="F9">
        <v>2</v>
      </c>
      <c r="G9">
        <v>0.55</v>
      </c>
      <c r="H9">
        <v>8</v>
      </c>
      <c r="I9">
        <v>2</v>
      </c>
      <c r="J9">
        <v>0.8</v>
      </c>
      <c r="K9">
        <v>1.35</v>
      </c>
      <c r="L9">
        <v>0</v>
      </c>
      <c r="M9">
        <v>0</v>
      </c>
      <c r="N9">
        <v>0</v>
      </c>
      <c r="O9">
        <v>0</v>
      </c>
      <c r="P9">
        <v>0</v>
      </c>
      <c r="Q9">
        <v>0.08</v>
      </c>
    </row>
    <row r="10" spans="1:17" x14ac:dyDescent="0.25">
      <c r="A10" s="1" t="s">
        <v>180</v>
      </c>
      <c r="B10" t="s">
        <v>181</v>
      </c>
      <c r="C10" t="s">
        <v>418</v>
      </c>
      <c r="D10">
        <v>1</v>
      </c>
      <c r="E10">
        <v>1</v>
      </c>
      <c r="F10">
        <v>1</v>
      </c>
      <c r="G10">
        <v>0.8</v>
      </c>
      <c r="H10">
        <v>6</v>
      </c>
      <c r="I10">
        <v>0</v>
      </c>
      <c r="J10">
        <v>1</v>
      </c>
      <c r="K10">
        <v>1</v>
      </c>
      <c r="L10">
        <v>5</v>
      </c>
      <c r="M10">
        <v>0.6</v>
      </c>
      <c r="N10">
        <v>1</v>
      </c>
      <c r="O10">
        <v>0.35</v>
      </c>
      <c r="P10">
        <v>0</v>
      </c>
      <c r="Q10">
        <v>0.2</v>
      </c>
    </row>
    <row r="11" spans="1:17" x14ac:dyDescent="0.25">
      <c r="A11" s="1" t="s">
        <v>1796</v>
      </c>
      <c r="B11" t="s">
        <v>1797</v>
      </c>
      <c r="C11" t="s">
        <v>418</v>
      </c>
      <c r="D11">
        <v>1</v>
      </c>
      <c r="E11">
        <v>1</v>
      </c>
      <c r="F11">
        <v>1</v>
      </c>
      <c r="G11">
        <v>0.7</v>
      </c>
      <c r="H11">
        <v>5</v>
      </c>
      <c r="I11">
        <v>0</v>
      </c>
      <c r="J11">
        <v>1</v>
      </c>
      <c r="K11">
        <v>1</v>
      </c>
      <c r="L11">
        <v>7</v>
      </c>
      <c r="M11">
        <v>0.3</v>
      </c>
      <c r="N11">
        <v>0</v>
      </c>
      <c r="O11">
        <v>0</v>
      </c>
      <c r="P11">
        <v>2.2</v>
      </c>
      <c r="Q11">
        <v>0.18</v>
      </c>
    </row>
    <row r="12" spans="1:17" x14ac:dyDescent="0.25">
      <c r="A12" s="1" t="s">
        <v>1798</v>
      </c>
      <c r="B12" t="s">
        <v>1799</v>
      </c>
      <c r="C12" t="s">
        <v>418</v>
      </c>
      <c r="D12">
        <v>1</v>
      </c>
      <c r="E12">
        <v>1</v>
      </c>
      <c r="F12">
        <v>1</v>
      </c>
      <c r="G12">
        <v>1.2</v>
      </c>
      <c r="H12">
        <v>7</v>
      </c>
      <c r="I12">
        <v>0</v>
      </c>
      <c r="J12">
        <v>1</v>
      </c>
      <c r="K12">
        <v>1</v>
      </c>
      <c r="L12">
        <v>2</v>
      </c>
      <c r="M12">
        <v>2.15</v>
      </c>
      <c r="N12">
        <v>0</v>
      </c>
      <c r="O12">
        <v>0</v>
      </c>
      <c r="P12">
        <v>0</v>
      </c>
      <c r="Q12">
        <v>0.15</v>
      </c>
    </row>
    <row r="13" spans="1:17" x14ac:dyDescent="0.25">
      <c r="A13" s="1" t="s">
        <v>1800</v>
      </c>
      <c r="B13" t="s">
        <v>1801</v>
      </c>
      <c r="C13" t="s">
        <v>1802</v>
      </c>
      <c r="D13">
        <v>1</v>
      </c>
      <c r="E13">
        <v>1</v>
      </c>
      <c r="F13">
        <v>1</v>
      </c>
      <c r="G13">
        <v>0.15</v>
      </c>
      <c r="H13">
        <v>5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0.14</v>
      </c>
    </row>
    <row r="14" spans="1:17" x14ac:dyDescent="0.25">
      <c r="A14" s="1" t="s">
        <v>1803</v>
      </c>
      <c r="B14" t="s">
        <v>1804</v>
      </c>
      <c r="C14" t="s">
        <v>1805</v>
      </c>
      <c r="D14">
        <v>1</v>
      </c>
      <c r="E14">
        <v>1</v>
      </c>
      <c r="F14">
        <v>1</v>
      </c>
      <c r="G14">
        <v>0.08</v>
      </c>
      <c r="H14">
        <v>2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0.12</v>
      </c>
    </row>
    <row r="15" spans="1:17" x14ac:dyDescent="0.25">
      <c r="A15" s="1" t="s">
        <v>58</v>
      </c>
      <c r="B15" t="s">
        <v>1806</v>
      </c>
      <c r="C15" t="s">
        <v>1805</v>
      </c>
      <c r="D15">
        <v>1</v>
      </c>
      <c r="E15">
        <v>1</v>
      </c>
      <c r="F15">
        <v>1</v>
      </c>
      <c r="G15">
        <v>0.05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26" customWidth="1"/>
    <col min="3" max="7" width="13" customWidth="1"/>
  </cols>
  <sheetData>
    <row r="1" spans="1:7" x14ac:dyDescent="0.25">
      <c r="A1" s="2" t="s">
        <v>6</v>
      </c>
      <c r="B1" s="3" t="s">
        <v>7</v>
      </c>
      <c r="C1" s="3" t="s">
        <v>1756</v>
      </c>
      <c r="D1" s="3" t="s">
        <v>1807</v>
      </c>
      <c r="E1" s="3" t="s">
        <v>1759</v>
      </c>
      <c r="F1" s="3" t="s">
        <v>1758</v>
      </c>
      <c r="G1" s="3" t="s">
        <v>1764</v>
      </c>
    </row>
    <row r="2" ht="78" customHeight="1" spans="1:7" x14ac:dyDescent="0.25">
      <c r="A2" s="4" t="s">
        <v>218</v>
      </c>
      <c r="B2" s="5" t="s">
        <v>1808</v>
      </c>
      <c r="C2" s="5" t="s">
        <v>1809</v>
      </c>
      <c r="D2" s="5" t="s">
        <v>1810</v>
      </c>
      <c r="E2" s="5" t="s">
        <v>1811</v>
      </c>
      <c r="F2" s="5" t="s">
        <v>1812</v>
      </c>
      <c r="G2" s="5" t="s">
        <v>1813</v>
      </c>
    </row>
    <row r="3" spans="1:7" x14ac:dyDescent="0.25">
      <c r="A3" s="1" t="s">
        <v>69</v>
      </c>
      <c r="B3" t="s">
        <v>1814</v>
      </c>
      <c r="C3">
        <v>3</v>
      </c>
      <c r="D3">
        <v>30</v>
      </c>
      <c r="E3">
        <v>1</v>
      </c>
      <c r="F3">
        <v>0.92</v>
      </c>
      <c r="G3">
        <v>0.4</v>
      </c>
    </row>
    <row r="4" spans="1:7" x14ac:dyDescent="0.25">
      <c r="A4" s="1" t="s">
        <v>1815</v>
      </c>
      <c r="B4" t="s">
        <v>1784</v>
      </c>
      <c r="C4">
        <v>2.2</v>
      </c>
      <c r="D4">
        <v>-10</v>
      </c>
      <c r="E4">
        <v>1.1</v>
      </c>
      <c r="F4">
        <v>1</v>
      </c>
      <c r="G4">
        <v>0.22</v>
      </c>
    </row>
    <row r="5" spans="1:7" x14ac:dyDescent="0.25">
      <c r="A5" s="1" t="s">
        <v>1816</v>
      </c>
      <c r="B5" t="s">
        <v>1786</v>
      </c>
      <c r="C5">
        <v>1.8</v>
      </c>
      <c r="D5">
        <v>-20</v>
      </c>
      <c r="E5">
        <v>0.95</v>
      </c>
      <c r="F5">
        <v>1.05</v>
      </c>
      <c r="G5">
        <v>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26" customWidth="1"/>
    <col min="3" max="6" width="13" customWidth="1"/>
  </cols>
  <sheetData>
    <row r="1" spans="1:6" x14ac:dyDescent="0.25">
      <c r="A1" s="2" t="s">
        <v>6</v>
      </c>
      <c r="B1" s="3" t="s">
        <v>7</v>
      </c>
      <c r="C1" s="3" t="s">
        <v>1756</v>
      </c>
      <c r="D1" s="3" t="s">
        <v>1758</v>
      </c>
      <c r="E1" s="3" t="s">
        <v>1759</v>
      </c>
      <c r="F1" s="3" t="s">
        <v>1817</v>
      </c>
    </row>
    <row r="2" ht="78" customHeight="1" spans="1:6" x14ac:dyDescent="0.25">
      <c r="A2" s="4" t="s">
        <v>218</v>
      </c>
      <c r="B2" s="5" t="s">
        <v>1808</v>
      </c>
      <c r="C2" s="5" t="s">
        <v>1770</v>
      </c>
      <c r="D2" s="5" t="s">
        <v>1812</v>
      </c>
      <c r="E2" s="5" t="s">
        <v>1773</v>
      </c>
      <c r="F2" s="5" t="s">
        <v>1818</v>
      </c>
    </row>
    <row r="3" spans="1:6" x14ac:dyDescent="0.25">
      <c r="A3" s="1" t="s">
        <v>1819</v>
      </c>
      <c r="B3" t="s">
        <v>1820</v>
      </c>
      <c r="C3">
        <v>0.4</v>
      </c>
      <c r="D3">
        <v>1</v>
      </c>
      <c r="E3">
        <v>1</v>
      </c>
      <c r="F3">
        <v>0</v>
      </c>
    </row>
    <row r="4" spans="1:6" x14ac:dyDescent="0.25">
      <c r="A4" s="1" t="s">
        <v>1821</v>
      </c>
      <c r="B4" t="s">
        <v>1822</v>
      </c>
      <c r="C4">
        <v>0.9</v>
      </c>
      <c r="D4">
        <v>0.9</v>
      </c>
      <c r="E4">
        <v>1.2</v>
      </c>
      <c r="F4">
        <v>0.15</v>
      </c>
    </row>
    <row r="5" spans="1:6" x14ac:dyDescent="0.25">
      <c r="A5" s="1" t="s">
        <v>1823</v>
      </c>
      <c r="B5" t="s">
        <v>452</v>
      </c>
      <c r="C5">
        <v>1.1</v>
      </c>
      <c r="D5">
        <v>0.8</v>
      </c>
      <c r="E5">
        <v>1.35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26" customWidth="1"/>
    <col min="3" max="8" width="13" customWidth="1"/>
  </cols>
  <sheetData>
    <row r="1" spans="1:8" x14ac:dyDescent="0.25">
      <c r="A1" s="2" t="s">
        <v>6</v>
      </c>
      <c r="B1" s="3" t="s">
        <v>7</v>
      </c>
      <c r="C1" s="3" t="s">
        <v>1756</v>
      </c>
      <c r="D1" s="3" t="s">
        <v>100</v>
      </c>
      <c r="E1" s="3" t="s">
        <v>1760</v>
      </c>
      <c r="F1" s="3" t="s">
        <v>1761</v>
      </c>
      <c r="G1" s="3" t="s">
        <v>1762</v>
      </c>
      <c r="H1" s="3" t="s">
        <v>1763</v>
      </c>
    </row>
    <row r="2" ht="78" customHeight="1" spans="1:8" x14ac:dyDescent="0.25">
      <c r="A2" s="4" t="s">
        <v>218</v>
      </c>
      <c r="B2" s="5" t="s">
        <v>1808</v>
      </c>
      <c r="C2" s="5" t="s">
        <v>1770</v>
      </c>
      <c r="D2" s="5" t="s">
        <v>1824</v>
      </c>
      <c r="E2" s="5" t="s">
        <v>1825</v>
      </c>
      <c r="F2" s="5" t="s">
        <v>1826</v>
      </c>
      <c r="G2" s="5" t="s">
        <v>1827</v>
      </c>
      <c r="H2" s="5" t="s">
        <v>1828</v>
      </c>
    </row>
    <row r="3" spans="1:8" x14ac:dyDescent="0.25">
      <c r="A3" s="1" t="s">
        <v>180</v>
      </c>
      <c r="B3" t="s">
        <v>181</v>
      </c>
      <c r="C3">
        <v>0.8</v>
      </c>
      <c r="D3">
        <v>5</v>
      </c>
      <c r="E3">
        <v>0.6</v>
      </c>
      <c r="F3">
        <v>1</v>
      </c>
      <c r="G3">
        <v>0.35</v>
      </c>
      <c r="H3">
        <v>0</v>
      </c>
    </row>
    <row r="4" spans="1:8" x14ac:dyDescent="0.25">
      <c r="A4" s="1" t="s">
        <v>1796</v>
      </c>
      <c r="B4" t="s">
        <v>1797</v>
      </c>
      <c r="C4">
        <v>0.7</v>
      </c>
      <c r="D4">
        <v>7</v>
      </c>
      <c r="E4">
        <v>0.3</v>
      </c>
      <c r="F4">
        <v>0</v>
      </c>
      <c r="G4">
        <v>0</v>
      </c>
      <c r="H4">
        <v>2.2</v>
      </c>
    </row>
    <row r="5" spans="1:8" x14ac:dyDescent="0.25">
      <c r="A5" s="1" t="s">
        <v>1798</v>
      </c>
      <c r="B5" t="s">
        <v>1799</v>
      </c>
      <c r="C5">
        <v>1.2</v>
      </c>
      <c r="D5">
        <v>2</v>
      </c>
      <c r="E5">
        <v>2.15</v>
      </c>
      <c r="F5">
        <v>0</v>
      </c>
      <c r="G5">
        <v>0</v>
      </c>
      <c r="H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26" customWidth="1"/>
    <col min="3" max="8" width="13" customWidth="1"/>
  </cols>
  <sheetData>
    <row r="1" spans="1:8" x14ac:dyDescent="0.25">
      <c r="A1" s="2" t="s">
        <v>6</v>
      </c>
      <c r="B1" s="3" t="s">
        <v>7</v>
      </c>
      <c r="C1" s="3" t="s">
        <v>1829</v>
      </c>
      <c r="D1" s="3" t="s">
        <v>1830</v>
      </c>
      <c r="E1" s="3" t="s">
        <v>1831</v>
      </c>
      <c r="F1" s="3" t="s">
        <v>1832</v>
      </c>
      <c r="G1" s="3" t="s">
        <v>1833</v>
      </c>
      <c r="H1" s="3" t="s">
        <v>1834</v>
      </c>
    </row>
    <row r="2" ht="78" customHeight="1" spans="1:8" x14ac:dyDescent="0.25">
      <c r="A2" s="4" t="s">
        <v>1835</v>
      </c>
      <c r="B2" s="5" t="s">
        <v>1765</v>
      </c>
      <c r="C2" s="5" t="s">
        <v>1836</v>
      </c>
      <c r="D2" s="5" t="s">
        <v>1837</v>
      </c>
      <c r="E2" s="5" t="s">
        <v>1838</v>
      </c>
      <c r="F2" s="5" t="s">
        <v>1839</v>
      </c>
      <c r="G2" s="5" t="s">
        <v>1840</v>
      </c>
      <c r="H2" s="5" t="s">
        <v>1841</v>
      </c>
    </row>
    <row r="3" spans="1:8" x14ac:dyDescent="0.25">
      <c r="A3" s="1" t="s">
        <v>1842</v>
      </c>
      <c r="B3" t="s">
        <v>1843</v>
      </c>
      <c r="C3" t="s">
        <v>1815</v>
      </c>
      <c r="D3" t="s">
        <v>1823</v>
      </c>
      <c r="E3" t="s">
        <v>1798</v>
      </c>
      <c r="F3" t="s">
        <v>1844</v>
      </c>
      <c r="G3" t="s">
        <v>1845</v>
      </c>
      <c r="H3" t="s">
        <v>1846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6"/>
  <sheetViews>
    <sheetView workbookViewId="0">
      <pane xSplit="4" ySplit="12" topLeftCell="E13" activePane="bottomRight" state="frozen"/>
      <selection pane="bottomRight"/>
    </sheetView>
  </sheetViews>
  <sheetFormatPr defaultRowHeight="15" outlineLevelRow="0" outlineLevelCol="0" x14ac:dyDescent="55"/>
  <cols>
    <col min="1" max="1" width="62" customWidth="1"/>
    <col min="2" max="2" width="26" customWidth="1"/>
    <col min="3" max="3" width="12" customWidth="1"/>
    <col min="4" max="4" width="26" customWidth="1"/>
    <col min="5" max="53" width="13" customWidth="1"/>
  </cols>
  <sheetData>
    <row r="1" spans="1:1" x14ac:dyDescent="0.25">
      <c r="A1" s="6" t="s">
        <v>1847</v>
      </c>
    </row>
    <row r="2" spans="1:1" x14ac:dyDescent="0.25">
      <c r="A2" t="s">
        <v>1848</v>
      </c>
    </row>
    <row r="4" spans="1:2" x14ac:dyDescent="0.25">
      <c r="A4" t="s">
        <v>1849</v>
      </c>
      <c r="B4" s="7">
        <v>0</v>
      </c>
    </row>
    <row r="5" spans="1:2" x14ac:dyDescent="0.25">
      <c r="A5" t="s">
        <v>1850</v>
      </c>
      <c r="B5" s="7">
        <v>1</v>
      </c>
    </row>
    <row r="6" spans="1:2" x14ac:dyDescent="0.25">
      <c r="A6" t="s">
        <v>1851</v>
      </c>
      <c r="B6" s="7" t="s">
        <v>250</v>
      </c>
    </row>
    <row r="7" spans="1:2" x14ac:dyDescent="0.25">
      <c r="A7" t="s">
        <v>1852</v>
      </c>
      <c r="B7" s="7">
        <v>12</v>
      </c>
    </row>
    <row r="8" spans="1:2" x14ac:dyDescent="0.25">
      <c r="A8" t="s">
        <v>1853</v>
      </c>
      <c r="B8" s="7">
        <v>1</v>
      </c>
    </row>
    <row r="9" spans="4:53" x14ac:dyDescent="0.25">
      <c r="D9" s="8" t="s">
        <v>418</v>
      </c>
      <c r="E9" s="8">
        <f>INDEX(armas!$B$3:$B$500,MATCH(E$10,armas!$A$3:$A$500,0))</f>
      </c>
      <c r="F9" s="8">
        <f>INDEX(armas!$B$3:$B$500,MATCH(F$10,armas!$A$3:$A$500,0))</f>
      </c>
      <c r="G9" s="8">
        <f>INDEX(armas!$B$3:$B$500,MATCH(G$10,armas!$A$3:$A$500,0))</f>
      </c>
      <c r="H9" s="8">
        <f>INDEX(armas!$B$3:$B$500,MATCH(H$10,armas!$A$3:$A$500,0))</f>
      </c>
      <c r="I9" s="8">
        <f>INDEX(armas!$B$3:$B$500,MATCH(I$10,armas!$A$3:$A$500,0))</f>
      </c>
      <c r="J9" s="8">
        <f>INDEX(armas!$B$3:$B$500,MATCH(J$10,armas!$A$3:$A$500,0))</f>
      </c>
      <c r="K9" s="8">
        <f>INDEX(armas!$B$3:$B$500,MATCH(K$10,armas!$A$3:$A$500,0))</f>
      </c>
      <c r="L9" s="8">
        <f>INDEX(armas!$B$3:$B$500,MATCH(L$10,armas!$A$3:$A$500,0))</f>
      </c>
      <c r="M9" s="8">
        <f>INDEX(armas!$B$3:$B$500,MATCH(M$10,armas!$A$3:$A$500,0))</f>
      </c>
      <c r="N9" s="8">
        <f>INDEX(armas!$B$3:$B$500,MATCH(N$10,armas!$A$3:$A$500,0))</f>
      </c>
      <c r="O9" s="8">
        <f>INDEX(armas!$B$3:$B$500,MATCH(O$10,armas!$A$3:$A$500,0))</f>
      </c>
      <c r="P9" s="8">
        <f>INDEX(armas!$B$3:$B$500,MATCH(P$10,armas!$A$3:$A$500,0))</f>
      </c>
      <c r="Q9" s="8">
        <f>INDEX(armas!$B$3:$B$500,MATCH(Q$10,armas!$A$3:$A$500,0))</f>
      </c>
      <c r="R9" s="8">
        <f>INDEX(armas!$B$3:$B$500,MATCH(R$10,armas!$A$3:$A$500,0))</f>
      </c>
      <c r="S9" s="8">
        <f>INDEX(armas!$B$3:$B$500,MATCH(S$10,armas!$A$3:$A$500,0))</f>
      </c>
      <c r="T9" s="8">
        <f>INDEX(armas!$B$3:$B$500,MATCH(T$10,armas!$A$3:$A$500,0))</f>
      </c>
      <c r="U9" s="8">
        <f>INDEX(armas!$B$3:$B$500,MATCH(U$10,armas!$A$3:$A$500,0))</f>
      </c>
      <c r="V9" s="8">
        <f>INDEX(armas!$B$3:$B$500,MATCH(V$10,armas!$A$3:$A$500,0))</f>
      </c>
      <c r="W9" s="8">
        <f>INDEX(armas!$B$3:$B$500,MATCH(W$10,armas!$A$3:$A$500,0))</f>
      </c>
      <c r="X9" s="8">
        <f>INDEX(armas!$B$3:$B$500,MATCH(X$10,armas!$A$3:$A$500,0))</f>
      </c>
      <c r="Y9" s="8">
        <f>INDEX(armas!$B$3:$B$500,MATCH(Y$10,armas!$A$3:$A$500,0))</f>
      </c>
      <c r="Z9" s="8">
        <f>INDEX(armas!$B$3:$B$500,MATCH(Z$10,armas!$A$3:$A$500,0))</f>
      </c>
      <c r="AA9" s="8">
        <f>INDEX(armas!$B$3:$B$500,MATCH(AA$10,armas!$A$3:$A$500,0))</f>
      </c>
      <c r="AB9" s="8">
        <f>INDEX(armas!$B$3:$B$500,MATCH(AB$10,armas!$A$3:$A$500,0))</f>
      </c>
      <c r="AC9" s="8">
        <f>INDEX(armas!$B$3:$B$500,MATCH(AC$10,armas!$A$3:$A$500,0))</f>
      </c>
      <c r="AD9" s="8">
        <f>INDEX(armas!$B$3:$B$500,MATCH(AD$10,armas!$A$3:$A$500,0))</f>
      </c>
      <c r="AE9" s="8">
        <f>INDEX(armas!$B$3:$B$500,MATCH(AE$10,armas!$A$3:$A$500,0))</f>
      </c>
      <c r="AF9" s="8">
        <f>INDEX(armas!$B$3:$B$500,MATCH(AF$10,armas!$A$3:$A$500,0))</f>
      </c>
      <c r="AG9" s="8">
        <f>INDEX(armas!$B$3:$B$500,MATCH(AG$10,armas!$A$3:$A$500,0))</f>
      </c>
      <c r="AH9" s="8">
        <f>INDEX(armas!$B$3:$B$500,MATCH(AH$10,armas!$A$3:$A$500,0))</f>
      </c>
      <c r="AI9" s="8">
        <f>INDEX(armas!$B$3:$B$500,MATCH(AI$10,armas!$A$3:$A$500,0))</f>
      </c>
      <c r="AJ9" s="8">
        <f>INDEX(armas!$B$3:$B$500,MATCH(AJ$10,armas!$A$3:$A$500,0))</f>
      </c>
      <c r="AK9" s="8">
        <f>INDEX(armas!$B$3:$B$500,MATCH(AK$10,armas!$A$3:$A$500,0))</f>
      </c>
      <c r="AL9" s="8">
        <f>INDEX(armas!$B$3:$B$500,MATCH(AL$10,armas!$A$3:$A$500,0))</f>
      </c>
      <c r="AM9" s="8">
        <f>INDEX(armas!$B$3:$B$500,MATCH(AM$10,armas!$A$3:$A$500,0))</f>
      </c>
      <c r="AN9" s="8">
        <f>INDEX(armas!$B$3:$B$500,MATCH(AN$10,armas!$A$3:$A$500,0))</f>
      </c>
      <c r="AO9" s="8">
        <f>INDEX(armas!$B$3:$B$500,MATCH(AO$10,armas!$A$3:$A$500,0))</f>
      </c>
      <c r="AP9" s="8">
        <f>INDEX(armas!$B$3:$B$500,MATCH(AP$10,armas!$A$3:$A$500,0))</f>
      </c>
      <c r="AQ9" s="8">
        <f>INDEX(armas!$B$3:$B$500,MATCH(AQ$10,armas!$A$3:$A$500,0))</f>
      </c>
      <c r="AR9" s="8">
        <f>INDEX(armas!$B$3:$B$500,MATCH(AR$10,armas!$A$3:$A$500,0))</f>
      </c>
      <c r="AS9" s="8">
        <f>INDEX(armas!$B$3:$B$500,MATCH(AS$10,armas!$A$3:$A$500,0))</f>
      </c>
      <c r="AT9" s="8">
        <f>INDEX(armas!$B$3:$B$500,MATCH(AT$10,armas!$A$3:$A$500,0))</f>
      </c>
      <c r="AU9" s="8">
        <f>INDEX(armas!$B$3:$B$500,MATCH(AU$10,armas!$A$3:$A$500,0))</f>
      </c>
      <c r="AV9" s="8">
        <f>INDEX(armas!$B$3:$B$500,MATCH(AV$10,armas!$A$3:$A$500,0))</f>
      </c>
      <c r="AW9" s="8">
        <f>INDEX(armas!$B$3:$B$500,MATCH(AW$10,armas!$A$3:$A$500,0))</f>
      </c>
      <c r="AX9" s="8">
        <f>INDEX(armas!$B$3:$B$500,MATCH(AX$10,armas!$A$3:$A$500,0))</f>
      </c>
      <c r="AY9" s="8">
        <f>INDEX(armas!$B$3:$B$500,MATCH(AY$10,armas!$A$3:$A$500,0))</f>
      </c>
      <c r="AZ9" s="8">
        <f>INDEX(armas!$B$3:$B$500,MATCH(AZ$10,armas!$A$3:$A$500,0))</f>
      </c>
      <c r="BA9" s="8" t="s">
        <v>1854</v>
      </c>
    </row>
    <row r="10" spans="4:53" x14ac:dyDescent="0.25">
      <c r="D10" s="9" t="s">
        <v>1855</v>
      </c>
      <c r="E10" s="9" t="s">
        <v>147</v>
      </c>
      <c r="F10" s="9" t="s">
        <v>147</v>
      </c>
      <c r="G10" s="9" t="s">
        <v>150</v>
      </c>
      <c r="H10" s="9" t="s">
        <v>150</v>
      </c>
      <c r="I10" s="9" t="s">
        <v>153</v>
      </c>
      <c r="J10" s="9" t="s">
        <v>153</v>
      </c>
      <c r="K10" s="9" t="s">
        <v>156</v>
      </c>
      <c r="L10" s="9" t="s">
        <v>156</v>
      </c>
      <c r="M10" s="9" t="s">
        <v>159</v>
      </c>
      <c r="N10" s="9" t="s">
        <v>159</v>
      </c>
      <c r="O10" s="9" t="s">
        <v>165</v>
      </c>
      <c r="P10" s="9" t="s">
        <v>165</v>
      </c>
      <c r="Q10" s="9" t="s">
        <v>168</v>
      </c>
      <c r="R10" s="9" t="s">
        <v>168</v>
      </c>
      <c r="S10" s="9" t="s">
        <v>170</v>
      </c>
      <c r="T10" s="9" t="s">
        <v>170</v>
      </c>
      <c r="U10" s="9" t="s">
        <v>173</v>
      </c>
      <c r="V10" s="9" t="s">
        <v>173</v>
      </c>
      <c r="W10" s="9" t="s">
        <v>175</v>
      </c>
      <c r="X10" s="9" t="s">
        <v>175</v>
      </c>
      <c r="Y10" s="9" t="s">
        <v>177</v>
      </c>
      <c r="Z10" s="9" t="s">
        <v>177</v>
      </c>
      <c r="AA10" s="9" t="s">
        <v>180</v>
      </c>
      <c r="AB10" s="9" t="s">
        <v>180</v>
      </c>
      <c r="AC10" s="9" t="s">
        <v>183</v>
      </c>
      <c r="AD10" s="9" t="s">
        <v>183</v>
      </c>
      <c r="AE10" s="9" t="s">
        <v>186</v>
      </c>
      <c r="AF10" s="9" t="s">
        <v>186</v>
      </c>
      <c r="AG10" s="9" t="s">
        <v>189</v>
      </c>
      <c r="AH10" s="9" t="s">
        <v>189</v>
      </c>
      <c r="AI10" s="9" t="s">
        <v>192</v>
      </c>
      <c r="AJ10" s="9" t="s">
        <v>192</v>
      </c>
      <c r="AK10" s="9" t="s">
        <v>195</v>
      </c>
      <c r="AL10" s="9" t="s">
        <v>195</v>
      </c>
      <c r="AM10" s="9" t="s">
        <v>198</v>
      </c>
      <c r="AN10" s="9" t="s">
        <v>198</v>
      </c>
      <c r="AO10" s="9" t="s">
        <v>200</v>
      </c>
      <c r="AP10" s="9" t="s">
        <v>200</v>
      </c>
      <c r="AQ10" s="9" t="s">
        <v>203</v>
      </c>
      <c r="AR10" s="9" t="s">
        <v>203</v>
      </c>
      <c r="AS10" s="9" t="s">
        <v>206</v>
      </c>
      <c r="AT10" s="9" t="s">
        <v>206</v>
      </c>
      <c r="AU10" s="9" t="s">
        <v>73</v>
      </c>
      <c r="AV10" s="9" t="s">
        <v>73</v>
      </c>
      <c r="AW10" s="9" t="s">
        <v>209</v>
      </c>
      <c r="AX10" s="9" t="s">
        <v>209</v>
      </c>
      <c r="AY10" s="9" t="s">
        <v>212</v>
      </c>
      <c r="AZ10" s="9" t="s">
        <v>212</v>
      </c>
      <c r="BA10" s="9" t="s">
        <v>241</v>
      </c>
    </row>
    <row r="11" spans="4:52" x14ac:dyDescent="0.25">
      <c r="D11" t="s">
        <v>1856</v>
      </c>
      <c r="E11">
        <v>1</v>
      </c>
      <c r="F11">
        <v>5</v>
      </c>
      <c r="G11">
        <v>1</v>
      </c>
      <c r="H11">
        <v>5</v>
      </c>
      <c r="I11">
        <v>1</v>
      </c>
      <c r="J11">
        <v>5</v>
      </c>
      <c r="K11">
        <v>1</v>
      </c>
      <c r="L11">
        <v>5</v>
      </c>
      <c r="M11">
        <v>1</v>
      </c>
      <c r="N11">
        <v>5</v>
      </c>
      <c r="O11">
        <v>1</v>
      </c>
      <c r="P11">
        <v>5</v>
      </c>
      <c r="Q11">
        <v>1</v>
      </c>
      <c r="R11">
        <v>5</v>
      </c>
      <c r="S11">
        <v>1</v>
      </c>
      <c r="T11">
        <v>5</v>
      </c>
      <c r="U11">
        <v>1</v>
      </c>
      <c r="V11">
        <v>5</v>
      </c>
      <c r="W11">
        <v>1</v>
      </c>
      <c r="X11">
        <v>5</v>
      </c>
      <c r="Y11">
        <v>1</v>
      </c>
      <c r="Z11">
        <v>5</v>
      </c>
      <c r="AA11">
        <v>1</v>
      </c>
      <c r="AB11">
        <v>5</v>
      </c>
      <c r="AC11">
        <v>1</v>
      </c>
      <c r="AD11">
        <v>5</v>
      </c>
      <c r="AE11">
        <v>1</v>
      </c>
      <c r="AF11">
        <v>5</v>
      </c>
      <c r="AG11">
        <v>1</v>
      </c>
      <c r="AH11">
        <v>5</v>
      </c>
      <c r="AI11">
        <v>1</v>
      </c>
      <c r="AJ11">
        <v>5</v>
      </c>
      <c r="AK11">
        <v>1</v>
      </c>
      <c r="AL11">
        <v>5</v>
      </c>
      <c r="AM11">
        <v>1</v>
      </c>
      <c r="AN11">
        <v>5</v>
      </c>
      <c r="AO11">
        <v>1</v>
      </c>
      <c r="AP11">
        <v>5</v>
      </c>
      <c r="AQ11">
        <v>1</v>
      </c>
      <c r="AR11">
        <v>5</v>
      </c>
      <c r="AS11">
        <v>1</v>
      </c>
      <c r="AT11">
        <v>5</v>
      </c>
      <c r="AU11">
        <v>1</v>
      </c>
      <c r="AV11">
        <v>5</v>
      </c>
      <c r="AW11">
        <v>1</v>
      </c>
      <c r="AX11">
        <v>5</v>
      </c>
      <c r="AY11">
        <v>1</v>
      </c>
      <c r="AZ11">
        <v>5</v>
      </c>
    </row>
    <row r="12" spans="1:53" x14ac:dyDescent="0.25">
      <c r="A12" s="10" t="s">
        <v>6</v>
      </c>
      <c r="B12" s="10" t="s">
        <v>7</v>
      </c>
      <c r="C12" s="10" t="s">
        <v>8</v>
      </c>
      <c r="D12" s="10" t="s">
        <v>1857</v>
      </c>
      <c r="E12" s="10">
        <f>(INDEX(armas!$D$3:$D$500,MATCH(E$10,armas!$A$3:$A$500,0))+INDEX(armas!$E$3:$E$500,MATCH(E$10,armas!$A$3:$A$500,0))*E$11)*$B$5</f>
      </c>
      <c r="F12" s="10">
        <f>(INDEX(armas!$D$3:$D$500,MATCH(F$10,armas!$A$3:$A$500,0))+INDEX(armas!$E$3:$E$500,MATCH(F$10,armas!$A$3:$A$500,0))*F$11)*$B$5</f>
      </c>
      <c r="G12" s="10">
        <f>(INDEX(armas!$D$3:$D$500,MATCH(G$10,armas!$A$3:$A$500,0))+INDEX(armas!$E$3:$E$500,MATCH(G$10,armas!$A$3:$A$500,0))*G$11)*$B$5</f>
      </c>
      <c r="H12" s="10">
        <f>(INDEX(armas!$D$3:$D$500,MATCH(H$10,armas!$A$3:$A$500,0))+INDEX(armas!$E$3:$E$500,MATCH(H$10,armas!$A$3:$A$500,0))*H$11)*$B$5</f>
      </c>
      <c r="I12" s="10">
        <f>(INDEX(armas!$D$3:$D$500,MATCH(I$10,armas!$A$3:$A$500,0))+INDEX(armas!$E$3:$E$500,MATCH(I$10,armas!$A$3:$A$500,0))*I$11)*$B$5</f>
      </c>
      <c r="J12" s="10">
        <f>(INDEX(armas!$D$3:$D$500,MATCH(J$10,armas!$A$3:$A$500,0))+INDEX(armas!$E$3:$E$500,MATCH(J$10,armas!$A$3:$A$500,0))*J$11)*$B$5</f>
      </c>
      <c r="K12" s="10">
        <f>(INDEX(armas!$D$3:$D$500,MATCH(K$10,armas!$A$3:$A$500,0))+INDEX(armas!$E$3:$E$500,MATCH(K$10,armas!$A$3:$A$500,0))*K$11)*$B$5</f>
      </c>
      <c r="L12" s="10">
        <f>(INDEX(armas!$D$3:$D$500,MATCH(L$10,armas!$A$3:$A$500,0))+INDEX(armas!$E$3:$E$500,MATCH(L$10,armas!$A$3:$A$500,0))*L$11)*$B$5</f>
      </c>
      <c r="M12" s="10">
        <f>(INDEX(armas!$D$3:$D$500,MATCH(M$10,armas!$A$3:$A$500,0))+INDEX(armas!$E$3:$E$500,MATCH(M$10,armas!$A$3:$A$500,0))*M$11)*$B$5</f>
      </c>
      <c r="N12" s="10">
        <f>(INDEX(armas!$D$3:$D$500,MATCH(N$10,armas!$A$3:$A$500,0))+INDEX(armas!$E$3:$E$500,MATCH(N$10,armas!$A$3:$A$500,0))*N$11)*$B$5</f>
      </c>
      <c r="O12" s="10">
        <f>(INDEX(armas!$D$3:$D$500,MATCH(O$10,armas!$A$3:$A$500,0))+INDEX(armas!$E$3:$E$500,MATCH(O$10,armas!$A$3:$A$500,0))*O$11)*$B$5</f>
      </c>
      <c r="P12" s="10">
        <f>(INDEX(armas!$D$3:$D$500,MATCH(P$10,armas!$A$3:$A$500,0))+INDEX(armas!$E$3:$E$500,MATCH(P$10,armas!$A$3:$A$500,0))*P$11)*$B$5</f>
      </c>
      <c r="Q12" s="10">
        <f>(INDEX(armas!$D$3:$D$500,MATCH(Q$10,armas!$A$3:$A$500,0))+INDEX(armas!$E$3:$E$500,MATCH(Q$10,armas!$A$3:$A$500,0))*Q$11)*$B$5</f>
      </c>
      <c r="R12" s="10">
        <f>(INDEX(armas!$D$3:$D$500,MATCH(R$10,armas!$A$3:$A$500,0))+INDEX(armas!$E$3:$E$500,MATCH(R$10,armas!$A$3:$A$500,0))*R$11)*$B$5</f>
      </c>
      <c r="S12" s="10">
        <f>(INDEX(armas!$D$3:$D$500,MATCH(S$10,armas!$A$3:$A$500,0))+INDEX(armas!$E$3:$E$500,MATCH(S$10,armas!$A$3:$A$500,0))*S$11)*$B$5</f>
      </c>
      <c r="T12" s="10">
        <f>(INDEX(armas!$D$3:$D$500,MATCH(T$10,armas!$A$3:$A$500,0))+INDEX(armas!$E$3:$E$500,MATCH(T$10,armas!$A$3:$A$500,0))*T$11)*$B$5</f>
      </c>
      <c r="U12" s="10">
        <f>(INDEX(armas!$D$3:$D$500,MATCH(U$10,armas!$A$3:$A$500,0))+INDEX(armas!$E$3:$E$500,MATCH(U$10,armas!$A$3:$A$500,0))*U$11)*$B$5</f>
      </c>
      <c r="V12" s="10">
        <f>(INDEX(armas!$D$3:$D$500,MATCH(V$10,armas!$A$3:$A$500,0))+INDEX(armas!$E$3:$E$500,MATCH(V$10,armas!$A$3:$A$500,0))*V$11)*$B$5</f>
      </c>
      <c r="W12" s="10">
        <f>(INDEX(armas!$D$3:$D$500,MATCH(W$10,armas!$A$3:$A$500,0))+INDEX(armas!$E$3:$E$500,MATCH(W$10,armas!$A$3:$A$500,0))*W$11)*$B$5</f>
      </c>
      <c r="X12" s="10">
        <f>(INDEX(armas!$D$3:$D$500,MATCH(X$10,armas!$A$3:$A$500,0))+INDEX(armas!$E$3:$E$500,MATCH(X$10,armas!$A$3:$A$500,0))*X$11)*$B$5</f>
      </c>
      <c r="Y12" s="10">
        <f>(INDEX(armas!$D$3:$D$500,MATCH(Y$10,armas!$A$3:$A$500,0))+INDEX(armas!$E$3:$E$500,MATCH(Y$10,armas!$A$3:$A$500,0))*Y$11)*$B$5</f>
      </c>
      <c r="Z12" s="10">
        <f>(INDEX(armas!$D$3:$D$500,MATCH(Z$10,armas!$A$3:$A$500,0))+INDEX(armas!$E$3:$E$500,MATCH(Z$10,armas!$A$3:$A$500,0))*Z$11)*$B$5</f>
      </c>
      <c r="AA12" s="10">
        <f>(INDEX(armas!$D$3:$D$500,MATCH(AA$10,armas!$A$3:$A$500,0))+INDEX(armas!$E$3:$E$500,MATCH(AA$10,armas!$A$3:$A$500,0))*AA$11)*$B$5</f>
      </c>
      <c r="AB12" s="10">
        <f>(INDEX(armas!$D$3:$D$500,MATCH(AB$10,armas!$A$3:$A$500,0))+INDEX(armas!$E$3:$E$500,MATCH(AB$10,armas!$A$3:$A$500,0))*AB$11)*$B$5</f>
      </c>
      <c r="AC12" s="10">
        <f>(INDEX(armas!$D$3:$D$500,MATCH(AC$10,armas!$A$3:$A$500,0))+INDEX(armas!$E$3:$E$500,MATCH(AC$10,armas!$A$3:$A$500,0))*AC$11)*$B$5</f>
      </c>
      <c r="AD12" s="10">
        <f>(INDEX(armas!$D$3:$D$500,MATCH(AD$10,armas!$A$3:$A$500,0))+INDEX(armas!$E$3:$E$500,MATCH(AD$10,armas!$A$3:$A$500,0))*AD$11)*$B$5</f>
      </c>
      <c r="AE12" s="10">
        <f>(INDEX(armas!$D$3:$D$500,MATCH(AE$10,armas!$A$3:$A$500,0))+INDEX(armas!$E$3:$E$500,MATCH(AE$10,armas!$A$3:$A$500,0))*AE$11)*$B$5</f>
      </c>
      <c r="AF12" s="10">
        <f>(INDEX(armas!$D$3:$D$500,MATCH(AF$10,armas!$A$3:$A$500,0))+INDEX(armas!$E$3:$E$500,MATCH(AF$10,armas!$A$3:$A$500,0))*AF$11)*$B$5</f>
      </c>
      <c r="AG12" s="10">
        <f>(INDEX(armas!$D$3:$D$500,MATCH(AG$10,armas!$A$3:$A$500,0))+INDEX(armas!$E$3:$E$500,MATCH(AG$10,armas!$A$3:$A$500,0))*AG$11)*$B$5</f>
      </c>
      <c r="AH12" s="10">
        <f>(INDEX(armas!$D$3:$D$500,MATCH(AH$10,armas!$A$3:$A$500,0))+INDEX(armas!$E$3:$E$500,MATCH(AH$10,armas!$A$3:$A$500,0))*AH$11)*$B$5</f>
      </c>
      <c r="AI12" s="10">
        <f>(INDEX(armas!$D$3:$D$500,MATCH(AI$10,armas!$A$3:$A$500,0))+INDEX(armas!$E$3:$E$500,MATCH(AI$10,armas!$A$3:$A$500,0))*AI$11)*$B$5</f>
      </c>
      <c r="AJ12" s="10">
        <f>(INDEX(armas!$D$3:$D$500,MATCH(AJ$10,armas!$A$3:$A$500,0))+INDEX(armas!$E$3:$E$500,MATCH(AJ$10,armas!$A$3:$A$500,0))*AJ$11)*$B$5</f>
      </c>
      <c r="AK12" s="10">
        <f>(INDEX(armas!$D$3:$D$500,MATCH(AK$10,armas!$A$3:$A$500,0))+INDEX(armas!$E$3:$E$500,MATCH(AK$10,armas!$A$3:$A$500,0))*AK$11)*$B$5</f>
      </c>
      <c r="AL12" s="10">
        <f>(INDEX(armas!$D$3:$D$500,MATCH(AL$10,armas!$A$3:$A$500,0))+INDEX(armas!$E$3:$E$500,MATCH(AL$10,armas!$A$3:$A$500,0))*AL$11)*$B$5</f>
      </c>
      <c r="AM12" s="10">
        <f>(INDEX(armas!$D$3:$D$500,MATCH(AM$10,armas!$A$3:$A$500,0))+INDEX(armas!$E$3:$E$500,MATCH(AM$10,armas!$A$3:$A$500,0))*AM$11)*$B$5</f>
      </c>
      <c r="AN12" s="10">
        <f>(INDEX(armas!$D$3:$D$500,MATCH(AN$10,armas!$A$3:$A$500,0))+INDEX(armas!$E$3:$E$500,MATCH(AN$10,armas!$A$3:$A$500,0))*AN$11)*$B$5</f>
      </c>
      <c r="AO12" s="10">
        <f>(INDEX(armas!$D$3:$D$500,MATCH(AO$10,armas!$A$3:$A$500,0))+INDEX(armas!$E$3:$E$500,MATCH(AO$10,armas!$A$3:$A$500,0))*AO$11)*$B$5</f>
      </c>
      <c r="AP12" s="10">
        <f>(INDEX(armas!$D$3:$D$500,MATCH(AP$10,armas!$A$3:$A$500,0))+INDEX(armas!$E$3:$E$500,MATCH(AP$10,armas!$A$3:$A$500,0))*AP$11)*$B$5</f>
      </c>
      <c r="AQ12" s="10">
        <f>(INDEX(armas!$D$3:$D$500,MATCH(AQ$10,armas!$A$3:$A$500,0))+INDEX(armas!$E$3:$E$500,MATCH(AQ$10,armas!$A$3:$A$500,0))*AQ$11)*$B$5</f>
      </c>
      <c r="AR12" s="10">
        <f>(INDEX(armas!$D$3:$D$500,MATCH(AR$10,armas!$A$3:$A$500,0))+INDEX(armas!$E$3:$E$500,MATCH(AR$10,armas!$A$3:$A$500,0))*AR$11)*$B$5</f>
      </c>
      <c r="AS12" s="10">
        <f>(INDEX(armas!$D$3:$D$500,MATCH(AS$10,armas!$A$3:$A$500,0))+INDEX(armas!$E$3:$E$500,MATCH(AS$10,armas!$A$3:$A$500,0))*AS$11)*$B$5</f>
      </c>
      <c r="AT12" s="10">
        <f>(INDEX(armas!$D$3:$D$500,MATCH(AT$10,armas!$A$3:$A$500,0))+INDEX(armas!$E$3:$E$500,MATCH(AT$10,armas!$A$3:$A$500,0))*AT$11)*$B$5</f>
      </c>
      <c r="AU12" s="10">
        <f>(INDEX(armas!$D$3:$D$500,MATCH(AU$10,armas!$A$3:$A$500,0))+INDEX(armas!$E$3:$E$500,MATCH(AU$10,armas!$A$3:$A$500,0))*AU$11)*$B$5</f>
      </c>
      <c r="AV12" s="10">
        <f>(INDEX(armas!$D$3:$D$500,MATCH(AV$10,armas!$A$3:$A$500,0))+INDEX(armas!$E$3:$E$500,MATCH(AV$10,armas!$A$3:$A$500,0))*AV$11)*$B$5</f>
      </c>
      <c r="AW12" s="10">
        <f>(INDEX(armas!$D$3:$D$500,MATCH(AW$10,armas!$A$3:$A$500,0))+INDEX(armas!$E$3:$E$500,MATCH(AW$10,armas!$A$3:$A$500,0))*AW$11)*$B$5</f>
      </c>
      <c r="AX12" s="10">
        <f>(INDEX(armas!$D$3:$D$500,MATCH(AX$10,armas!$A$3:$A$500,0))+INDEX(armas!$E$3:$E$500,MATCH(AX$10,armas!$A$3:$A$500,0))*AX$11)*$B$5</f>
      </c>
      <c r="AY12" s="10">
        <f>(INDEX(armas!$D$3:$D$500,MATCH(AY$10,armas!$A$3:$A$500,0))+INDEX(armas!$E$3:$E$500,MATCH(AY$10,armas!$A$3:$A$500,0))*AY$11)*$B$5</f>
      </c>
      <c r="AZ12" s="10">
        <f>(INDEX(armas!$D$3:$D$500,MATCH(AZ$10,armas!$A$3:$A$500,0))+INDEX(armas!$E$3:$E$500,MATCH(AZ$10,armas!$A$3:$A$500,0))*AZ$11)*$B$5</f>
      </c>
      <c r="BA12" s="10">
        <f>$B$7*INDEX(autos!$I$3:$I$500,MATCH($B$6,autos!$A$3:$A$500,0))*$B$8*$B$5</f>
      </c>
    </row>
    <row r="13" spans="1:53" x14ac:dyDescent="0.25">
      <c r="A13" t="s">
        <v>28</v>
      </c>
      <c r="B13">
        <f>INDEX(enemigos!$B$3:$B$500,MATCH($A13,enemigos!$A$3:$A$500,0))</f>
      </c>
      <c r="C13">
        <f>INDEX(enemigos!$C$3:$C$500,MATCH($A13,enemigos!$A$3:$A$500,0))</f>
      </c>
      <c r="D13">
        <f>IF($C13="bicho",INDEX(enemigos!$D$3:$D$500,MATCH($A13,enemigos!$A$3:$A$500,0))*INDEX(ritmo!$B$3:$B$500,MATCH("dureza_vida",ritmo!$A$3:$A$500,0))*(1+$B$4/INDEX(ritmo!$B$3:$B$500,MATCH("vida_escala_seg",ritmo!$A$3:$A$500,0))),INDEX(enemigos!$D$3:$D$500,MATCH($A13,enemigos!$A$3:$A$500,0)))</f>
      </c>
      <c r="E13">
        <f>IF(E$12&gt;0,ROUNDUP($D13/E$12,0),"-")</f>
      </c>
      <c r="F13">
        <f>IF(F$12&gt;0,ROUNDUP($D13/F$12,0),"-")</f>
      </c>
      <c r="G13">
        <f>IF(G$12&gt;0,ROUNDUP($D13/G$12,0),"-")</f>
      </c>
      <c r="H13">
        <f>IF(H$12&gt;0,ROUNDUP($D13/H$12,0),"-")</f>
      </c>
      <c r="I13">
        <f>IF(I$12&gt;0,ROUNDUP($D13/I$12,0),"-")</f>
      </c>
      <c r="J13">
        <f>IF(J$12&gt;0,ROUNDUP($D13/J$12,0),"-")</f>
      </c>
      <c r="K13">
        <f>IF(K$12&gt;0,ROUNDUP($D13/K$12,0),"-")</f>
      </c>
      <c r="L13">
        <f>IF(L$12&gt;0,ROUNDUP($D13/L$12,0),"-")</f>
      </c>
      <c r="M13">
        <f>IF(M$12&gt;0,ROUNDUP($D13/M$12,0),"-")</f>
      </c>
      <c r="N13">
        <f>IF(N$12&gt;0,ROUNDUP($D13/N$12,0),"-")</f>
      </c>
      <c r="O13">
        <f>IF(O$12&gt;0,ROUNDUP($D13/O$12,0),"-")</f>
      </c>
      <c r="P13">
        <f>IF(P$12&gt;0,ROUNDUP($D13/P$12,0),"-")</f>
      </c>
      <c r="Q13">
        <f>IF(Q$12&gt;0,ROUNDUP($D13/Q$12,0),"-")</f>
      </c>
      <c r="R13">
        <f>IF(R$12&gt;0,ROUNDUP($D13/R$12,0),"-")</f>
      </c>
      <c r="S13">
        <f>IF(S$12&gt;0,ROUNDUP($D13/S$12,0),"-")</f>
      </c>
      <c r="T13">
        <f>IF(T$12&gt;0,ROUNDUP($D13/T$12,0),"-")</f>
      </c>
      <c r="U13">
        <f>IF(U$12&gt;0,ROUNDUP($D13/U$12,0),"-")</f>
      </c>
      <c r="V13">
        <f>IF(V$12&gt;0,ROUNDUP($D13/V$12,0),"-")</f>
      </c>
      <c r="W13">
        <f>IF(W$12&gt;0,ROUNDUP($D13/W$12,0),"-")</f>
      </c>
      <c r="X13">
        <f>IF(X$12&gt;0,ROUNDUP($D13/X$12,0),"-")</f>
      </c>
      <c r="Y13">
        <f>IF(Y$12&gt;0,ROUNDUP($D13/Y$12,0),"-")</f>
      </c>
      <c r="Z13">
        <f>IF(Z$12&gt;0,ROUNDUP($D13/Z$12,0),"-")</f>
      </c>
      <c r="AA13">
        <f>IF(AA$12&gt;0,ROUNDUP($D13/AA$12,0),"-")</f>
      </c>
      <c r="AB13">
        <f>IF(AB$12&gt;0,ROUNDUP($D13/AB$12,0),"-")</f>
      </c>
      <c r="AC13">
        <f>IF(AC$12&gt;0,ROUNDUP($D13/AC$12,0),"-")</f>
      </c>
      <c r="AD13">
        <f>IF(AD$12&gt;0,ROUNDUP($D13/AD$12,0),"-")</f>
      </c>
      <c r="AE13">
        <f>IF(AE$12&gt;0,ROUNDUP($D13/AE$12,0),"-")</f>
      </c>
      <c r="AF13">
        <f>IF(AF$12&gt;0,ROUNDUP($D13/AF$12,0),"-")</f>
      </c>
      <c r="AG13">
        <f>IF(AG$12&gt;0,ROUNDUP($D13/AG$12,0),"-")</f>
      </c>
      <c r="AH13">
        <f>IF(AH$12&gt;0,ROUNDUP($D13/AH$12,0),"-")</f>
      </c>
      <c r="AI13">
        <f>IF(AI$12&gt;0,ROUNDUP($D13/AI$12,0),"-")</f>
      </c>
      <c r="AJ13">
        <f>IF(AJ$12&gt;0,ROUNDUP($D13/AJ$12,0),"-")</f>
      </c>
      <c r="AK13">
        <f>IF(AK$12&gt;0,ROUNDUP($D13/AK$12,0),"-")</f>
      </c>
      <c r="AL13">
        <f>IF(AL$12&gt;0,ROUNDUP($D13/AL$12,0),"-")</f>
      </c>
      <c r="AM13">
        <f>IF(AM$12&gt;0,ROUNDUP($D13/AM$12,0),"-")</f>
      </c>
      <c r="AN13">
        <f>IF(AN$12&gt;0,ROUNDUP($D13/AN$12,0),"-")</f>
      </c>
      <c r="AO13">
        <f>IF(AO$12&gt;0,ROUNDUP($D13/AO$12,0),"-")</f>
      </c>
      <c r="AP13">
        <f>IF(AP$12&gt;0,ROUNDUP($D13/AP$12,0),"-")</f>
      </c>
      <c r="AQ13">
        <f>IF(AQ$12&gt;0,ROUNDUP($D13/AQ$12,0),"-")</f>
      </c>
      <c r="AR13">
        <f>IF(AR$12&gt;0,ROUNDUP($D13/AR$12,0),"-")</f>
      </c>
      <c r="AS13">
        <f>IF(AS$12&gt;0,ROUNDUP($D13/AS$12,0),"-")</f>
      </c>
      <c r="AT13">
        <f>IF(AT$12&gt;0,ROUNDUP($D13/AT$12,0),"-")</f>
      </c>
      <c r="AU13">
        <f>IF(AU$12&gt;0,ROUNDUP($D13/AU$12,0),"-")</f>
      </c>
      <c r="AV13">
        <f>IF(AV$12&gt;0,ROUNDUP($D13/AV$12,0),"-")</f>
      </c>
      <c r="AW13">
        <f>IF(AW$12&gt;0,ROUNDUP($D13/AW$12,0),"-")</f>
      </c>
      <c r="AX13">
        <f>IF(AX$12&gt;0,ROUNDUP($D13/AX$12,0),"-")</f>
      </c>
      <c r="AY13">
        <f>IF(AY$12&gt;0,ROUNDUP($D13/AY$12,0),"-")</f>
      </c>
      <c r="AZ13">
        <f>IF(AZ$12&gt;0,ROUNDUP($D13/AZ$12,0),"-")</f>
      </c>
      <c r="BA13">
        <f>IF(BA$12&gt;0,ROUNDUP($D13/BA$12,0),"-")</f>
      </c>
    </row>
    <row r="14" spans="1:53" x14ac:dyDescent="0.25">
      <c r="A14" t="s">
        <v>31</v>
      </c>
      <c r="B14">
        <f>INDEX(enemigos!$B$3:$B$500,MATCH($A14,enemigos!$A$3:$A$500,0))</f>
      </c>
      <c r="C14">
        <f>INDEX(enemigos!$C$3:$C$500,MATCH($A14,enemigos!$A$3:$A$500,0))</f>
      </c>
      <c r="D14">
        <f>IF($C14="bicho",INDEX(enemigos!$D$3:$D$500,MATCH($A14,enemigos!$A$3:$A$500,0))*INDEX(ritmo!$B$3:$B$500,MATCH("dureza_vida",ritmo!$A$3:$A$500,0))*(1+$B$4/INDEX(ritmo!$B$3:$B$500,MATCH("vida_escala_seg",ritmo!$A$3:$A$500,0))),INDEX(enemigos!$D$3:$D$500,MATCH($A14,enemigos!$A$3:$A$500,0)))</f>
      </c>
      <c r="E14">
        <f>IF(E$12&gt;0,ROUNDUP($D14/E$12,0),"-")</f>
      </c>
      <c r="F14">
        <f>IF(F$12&gt;0,ROUNDUP($D14/F$12,0),"-")</f>
      </c>
      <c r="G14">
        <f>IF(G$12&gt;0,ROUNDUP($D14/G$12,0),"-")</f>
      </c>
      <c r="H14">
        <f>IF(H$12&gt;0,ROUNDUP($D14/H$12,0),"-")</f>
      </c>
      <c r="I14">
        <f>IF(I$12&gt;0,ROUNDUP($D14/I$12,0),"-")</f>
      </c>
      <c r="J14">
        <f>IF(J$12&gt;0,ROUNDUP($D14/J$12,0),"-")</f>
      </c>
      <c r="K14">
        <f>IF(K$12&gt;0,ROUNDUP($D14/K$12,0),"-")</f>
      </c>
      <c r="L14">
        <f>IF(L$12&gt;0,ROUNDUP($D14/L$12,0),"-")</f>
      </c>
      <c r="M14">
        <f>IF(M$12&gt;0,ROUNDUP($D14/M$12,0),"-")</f>
      </c>
      <c r="N14">
        <f>IF(N$12&gt;0,ROUNDUP($D14/N$12,0),"-")</f>
      </c>
      <c r="O14">
        <f>IF(O$12&gt;0,ROUNDUP($D14/O$12,0),"-")</f>
      </c>
      <c r="P14">
        <f>IF(P$12&gt;0,ROUNDUP($D14/P$12,0),"-")</f>
      </c>
      <c r="Q14">
        <f>IF(Q$12&gt;0,ROUNDUP($D14/Q$12,0),"-")</f>
      </c>
      <c r="R14">
        <f>IF(R$12&gt;0,ROUNDUP($D14/R$12,0),"-")</f>
      </c>
      <c r="S14">
        <f>IF(S$12&gt;0,ROUNDUP($D14/S$12,0),"-")</f>
      </c>
      <c r="T14">
        <f>IF(T$12&gt;0,ROUNDUP($D14/T$12,0),"-")</f>
      </c>
      <c r="U14">
        <f>IF(U$12&gt;0,ROUNDUP($D14/U$12,0),"-")</f>
      </c>
      <c r="V14">
        <f>IF(V$12&gt;0,ROUNDUP($D14/V$12,0),"-")</f>
      </c>
      <c r="W14">
        <f>IF(W$12&gt;0,ROUNDUP($D14/W$12,0),"-")</f>
      </c>
      <c r="X14">
        <f>IF(X$12&gt;0,ROUNDUP($D14/X$12,0),"-")</f>
      </c>
      <c r="Y14">
        <f>IF(Y$12&gt;0,ROUNDUP($D14/Y$12,0),"-")</f>
      </c>
      <c r="Z14">
        <f>IF(Z$12&gt;0,ROUNDUP($D14/Z$12,0),"-")</f>
      </c>
      <c r="AA14">
        <f>IF(AA$12&gt;0,ROUNDUP($D14/AA$12,0),"-")</f>
      </c>
      <c r="AB14">
        <f>IF(AB$12&gt;0,ROUNDUP($D14/AB$12,0),"-")</f>
      </c>
      <c r="AC14">
        <f>IF(AC$12&gt;0,ROUNDUP($D14/AC$12,0),"-")</f>
      </c>
      <c r="AD14">
        <f>IF(AD$12&gt;0,ROUNDUP($D14/AD$12,0),"-")</f>
      </c>
      <c r="AE14">
        <f>IF(AE$12&gt;0,ROUNDUP($D14/AE$12,0),"-")</f>
      </c>
      <c r="AF14">
        <f>IF(AF$12&gt;0,ROUNDUP($D14/AF$12,0),"-")</f>
      </c>
      <c r="AG14">
        <f>IF(AG$12&gt;0,ROUNDUP($D14/AG$12,0),"-")</f>
      </c>
      <c r="AH14">
        <f>IF(AH$12&gt;0,ROUNDUP($D14/AH$12,0),"-")</f>
      </c>
      <c r="AI14">
        <f>IF(AI$12&gt;0,ROUNDUP($D14/AI$12,0),"-")</f>
      </c>
      <c r="AJ14">
        <f>IF(AJ$12&gt;0,ROUNDUP($D14/AJ$12,0),"-")</f>
      </c>
      <c r="AK14">
        <f>IF(AK$12&gt;0,ROUNDUP($D14/AK$12,0),"-")</f>
      </c>
      <c r="AL14">
        <f>IF(AL$12&gt;0,ROUNDUP($D14/AL$12,0),"-")</f>
      </c>
      <c r="AM14">
        <f>IF(AM$12&gt;0,ROUNDUP($D14/AM$12,0),"-")</f>
      </c>
      <c r="AN14">
        <f>IF(AN$12&gt;0,ROUNDUP($D14/AN$12,0),"-")</f>
      </c>
      <c r="AO14">
        <f>IF(AO$12&gt;0,ROUNDUP($D14/AO$12,0),"-")</f>
      </c>
      <c r="AP14">
        <f>IF(AP$12&gt;0,ROUNDUP($D14/AP$12,0),"-")</f>
      </c>
      <c r="AQ14">
        <f>IF(AQ$12&gt;0,ROUNDUP($D14/AQ$12,0),"-")</f>
      </c>
      <c r="AR14">
        <f>IF(AR$12&gt;0,ROUNDUP($D14/AR$12,0),"-")</f>
      </c>
      <c r="AS14">
        <f>IF(AS$12&gt;0,ROUNDUP($D14/AS$12,0),"-")</f>
      </c>
      <c r="AT14">
        <f>IF(AT$12&gt;0,ROUNDUP($D14/AT$12,0),"-")</f>
      </c>
      <c r="AU14">
        <f>IF(AU$12&gt;0,ROUNDUP($D14/AU$12,0),"-")</f>
      </c>
      <c r="AV14">
        <f>IF(AV$12&gt;0,ROUNDUP($D14/AV$12,0),"-")</f>
      </c>
      <c r="AW14">
        <f>IF(AW$12&gt;0,ROUNDUP($D14/AW$12,0),"-")</f>
      </c>
      <c r="AX14">
        <f>IF(AX$12&gt;0,ROUNDUP($D14/AX$12,0),"-")</f>
      </c>
      <c r="AY14">
        <f>IF(AY$12&gt;0,ROUNDUP($D14/AY$12,0),"-")</f>
      </c>
      <c r="AZ14">
        <f>IF(AZ$12&gt;0,ROUNDUP($D14/AZ$12,0),"-")</f>
      </c>
      <c r="BA14">
        <f>IF(BA$12&gt;0,ROUNDUP($D14/BA$12,0),"-")</f>
      </c>
    </row>
    <row r="15" spans="1:53" x14ac:dyDescent="0.25">
      <c r="A15" t="s">
        <v>33</v>
      </c>
      <c r="B15">
        <f>INDEX(enemigos!$B$3:$B$500,MATCH($A15,enemigos!$A$3:$A$500,0))</f>
      </c>
      <c r="C15">
        <f>INDEX(enemigos!$C$3:$C$500,MATCH($A15,enemigos!$A$3:$A$500,0))</f>
      </c>
      <c r="D15">
        <f>IF($C15="bicho",INDEX(enemigos!$D$3:$D$500,MATCH($A15,enemigos!$A$3:$A$500,0))*INDEX(ritmo!$B$3:$B$500,MATCH("dureza_vida",ritmo!$A$3:$A$500,0))*(1+$B$4/INDEX(ritmo!$B$3:$B$500,MATCH("vida_escala_seg",ritmo!$A$3:$A$500,0))),INDEX(enemigos!$D$3:$D$500,MATCH($A15,enemigos!$A$3:$A$500,0)))</f>
      </c>
      <c r="E15">
        <f>IF(E$12&gt;0,ROUNDUP($D15/E$12,0),"-")</f>
      </c>
      <c r="F15">
        <f>IF(F$12&gt;0,ROUNDUP($D15/F$12,0),"-")</f>
      </c>
      <c r="G15">
        <f>IF(G$12&gt;0,ROUNDUP($D15/G$12,0),"-")</f>
      </c>
      <c r="H15">
        <f>IF(H$12&gt;0,ROUNDUP($D15/H$12,0),"-")</f>
      </c>
      <c r="I15">
        <f>IF(I$12&gt;0,ROUNDUP($D15/I$12,0),"-")</f>
      </c>
      <c r="J15">
        <f>IF(J$12&gt;0,ROUNDUP($D15/J$12,0),"-")</f>
      </c>
      <c r="K15">
        <f>IF(K$12&gt;0,ROUNDUP($D15/K$12,0),"-")</f>
      </c>
      <c r="L15">
        <f>IF(L$12&gt;0,ROUNDUP($D15/L$12,0),"-")</f>
      </c>
      <c r="M15">
        <f>IF(M$12&gt;0,ROUNDUP($D15/M$12,0),"-")</f>
      </c>
      <c r="N15">
        <f>IF(N$12&gt;0,ROUNDUP($D15/N$12,0),"-")</f>
      </c>
      <c r="O15">
        <f>IF(O$12&gt;0,ROUNDUP($D15/O$12,0),"-")</f>
      </c>
      <c r="P15">
        <f>IF(P$12&gt;0,ROUNDUP($D15/P$12,0),"-")</f>
      </c>
      <c r="Q15">
        <f>IF(Q$12&gt;0,ROUNDUP($D15/Q$12,0),"-")</f>
      </c>
      <c r="R15">
        <f>IF(R$12&gt;0,ROUNDUP($D15/R$12,0),"-")</f>
      </c>
      <c r="S15">
        <f>IF(S$12&gt;0,ROUNDUP($D15/S$12,0),"-")</f>
      </c>
      <c r="T15">
        <f>IF(T$12&gt;0,ROUNDUP($D15/T$12,0),"-")</f>
      </c>
      <c r="U15">
        <f>IF(U$12&gt;0,ROUNDUP($D15/U$12,0),"-")</f>
      </c>
      <c r="V15">
        <f>IF(V$12&gt;0,ROUNDUP($D15/V$12,0),"-")</f>
      </c>
      <c r="W15">
        <f>IF(W$12&gt;0,ROUNDUP($D15/W$12,0),"-")</f>
      </c>
      <c r="X15">
        <f>IF(X$12&gt;0,ROUNDUP($D15/X$12,0),"-")</f>
      </c>
      <c r="Y15">
        <f>IF(Y$12&gt;0,ROUNDUP($D15/Y$12,0),"-")</f>
      </c>
      <c r="Z15">
        <f>IF(Z$12&gt;0,ROUNDUP($D15/Z$12,0),"-")</f>
      </c>
      <c r="AA15">
        <f>IF(AA$12&gt;0,ROUNDUP($D15/AA$12,0),"-")</f>
      </c>
      <c r="AB15">
        <f>IF(AB$12&gt;0,ROUNDUP($D15/AB$12,0),"-")</f>
      </c>
      <c r="AC15">
        <f>IF(AC$12&gt;0,ROUNDUP($D15/AC$12,0),"-")</f>
      </c>
      <c r="AD15">
        <f>IF(AD$12&gt;0,ROUNDUP($D15/AD$12,0),"-")</f>
      </c>
      <c r="AE15">
        <f>IF(AE$12&gt;0,ROUNDUP($D15/AE$12,0),"-")</f>
      </c>
      <c r="AF15">
        <f>IF(AF$12&gt;0,ROUNDUP($D15/AF$12,0),"-")</f>
      </c>
      <c r="AG15">
        <f>IF(AG$12&gt;0,ROUNDUP($D15/AG$12,0),"-")</f>
      </c>
      <c r="AH15">
        <f>IF(AH$12&gt;0,ROUNDUP($D15/AH$12,0),"-")</f>
      </c>
      <c r="AI15">
        <f>IF(AI$12&gt;0,ROUNDUP($D15/AI$12,0),"-")</f>
      </c>
      <c r="AJ15">
        <f>IF(AJ$12&gt;0,ROUNDUP($D15/AJ$12,0),"-")</f>
      </c>
      <c r="AK15">
        <f>IF(AK$12&gt;0,ROUNDUP($D15/AK$12,0),"-")</f>
      </c>
      <c r="AL15">
        <f>IF(AL$12&gt;0,ROUNDUP($D15/AL$12,0),"-")</f>
      </c>
      <c r="AM15">
        <f>IF(AM$12&gt;0,ROUNDUP($D15/AM$12,0),"-")</f>
      </c>
      <c r="AN15">
        <f>IF(AN$12&gt;0,ROUNDUP($D15/AN$12,0),"-")</f>
      </c>
      <c r="AO15">
        <f>IF(AO$12&gt;0,ROUNDUP($D15/AO$12,0),"-")</f>
      </c>
      <c r="AP15">
        <f>IF(AP$12&gt;0,ROUNDUP($D15/AP$12,0),"-")</f>
      </c>
      <c r="AQ15">
        <f>IF(AQ$12&gt;0,ROUNDUP($D15/AQ$12,0),"-")</f>
      </c>
      <c r="AR15">
        <f>IF(AR$12&gt;0,ROUNDUP($D15/AR$12,0),"-")</f>
      </c>
      <c r="AS15">
        <f>IF(AS$12&gt;0,ROUNDUP($D15/AS$12,0),"-")</f>
      </c>
      <c r="AT15">
        <f>IF(AT$12&gt;0,ROUNDUP($D15/AT$12,0),"-")</f>
      </c>
      <c r="AU15">
        <f>IF(AU$12&gt;0,ROUNDUP($D15/AU$12,0),"-")</f>
      </c>
      <c r="AV15">
        <f>IF(AV$12&gt;0,ROUNDUP($D15/AV$12,0),"-")</f>
      </c>
      <c r="AW15">
        <f>IF(AW$12&gt;0,ROUNDUP($D15/AW$12,0),"-")</f>
      </c>
      <c r="AX15">
        <f>IF(AX$12&gt;0,ROUNDUP($D15/AX$12,0),"-")</f>
      </c>
      <c r="AY15">
        <f>IF(AY$12&gt;0,ROUNDUP($D15/AY$12,0),"-")</f>
      </c>
      <c r="AZ15">
        <f>IF(AZ$12&gt;0,ROUNDUP($D15/AZ$12,0),"-")</f>
      </c>
      <c r="BA15">
        <f>IF(BA$12&gt;0,ROUNDUP($D15/BA$12,0),"-")</f>
      </c>
    </row>
    <row r="16" spans="1:53" x14ac:dyDescent="0.25">
      <c r="A16" t="s">
        <v>35</v>
      </c>
      <c r="B16">
        <f>INDEX(enemigos!$B$3:$B$500,MATCH($A16,enemigos!$A$3:$A$500,0))</f>
      </c>
      <c r="C16">
        <f>INDEX(enemigos!$C$3:$C$500,MATCH($A16,enemigos!$A$3:$A$500,0))</f>
      </c>
      <c r="D16">
        <f>IF($C16="bicho",INDEX(enemigos!$D$3:$D$500,MATCH($A16,enemigos!$A$3:$A$500,0))*INDEX(ritmo!$B$3:$B$500,MATCH("dureza_vida",ritmo!$A$3:$A$500,0))*(1+$B$4/INDEX(ritmo!$B$3:$B$500,MATCH("vida_escala_seg",ritmo!$A$3:$A$500,0))),INDEX(enemigos!$D$3:$D$500,MATCH($A16,enemigos!$A$3:$A$500,0)))</f>
      </c>
      <c r="E16">
        <f>IF(E$12&gt;0,ROUNDUP($D16/E$12,0),"-")</f>
      </c>
      <c r="F16">
        <f>IF(F$12&gt;0,ROUNDUP($D16/F$12,0),"-")</f>
      </c>
      <c r="G16">
        <f>IF(G$12&gt;0,ROUNDUP($D16/G$12,0),"-")</f>
      </c>
      <c r="H16">
        <f>IF(H$12&gt;0,ROUNDUP($D16/H$12,0),"-")</f>
      </c>
      <c r="I16">
        <f>IF(I$12&gt;0,ROUNDUP($D16/I$12,0),"-")</f>
      </c>
      <c r="J16">
        <f>IF(J$12&gt;0,ROUNDUP($D16/J$12,0),"-")</f>
      </c>
      <c r="K16">
        <f>IF(K$12&gt;0,ROUNDUP($D16/K$12,0),"-")</f>
      </c>
      <c r="L16">
        <f>IF(L$12&gt;0,ROUNDUP($D16/L$12,0),"-")</f>
      </c>
      <c r="M16">
        <f>IF(M$12&gt;0,ROUNDUP($D16/M$12,0),"-")</f>
      </c>
      <c r="N16">
        <f>IF(N$12&gt;0,ROUNDUP($D16/N$12,0),"-")</f>
      </c>
      <c r="O16">
        <f>IF(O$12&gt;0,ROUNDUP($D16/O$12,0),"-")</f>
      </c>
      <c r="P16">
        <f>IF(P$12&gt;0,ROUNDUP($D16/P$12,0),"-")</f>
      </c>
      <c r="Q16">
        <f>IF(Q$12&gt;0,ROUNDUP($D16/Q$12,0),"-")</f>
      </c>
      <c r="R16">
        <f>IF(R$12&gt;0,ROUNDUP($D16/R$12,0),"-")</f>
      </c>
      <c r="S16">
        <f>IF(S$12&gt;0,ROUNDUP($D16/S$12,0),"-")</f>
      </c>
      <c r="T16">
        <f>IF(T$12&gt;0,ROUNDUP($D16/T$12,0),"-")</f>
      </c>
      <c r="U16">
        <f>IF(U$12&gt;0,ROUNDUP($D16/U$12,0),"-")</f>
      </c>
      <c r="V16">
        <f>IF(V$12&gt;0,ROUNDUP($D16/V$12,0),"-")</f>
      </c>
      <c r="W16">
        <f>IF(W$12&gt;0,ROUNDUP($D16/W$12,0),"-")</f>
      </c>
      <c r="X16">
        <f>IF(X$12&gt;0,ROUNDUP($D16/X$12,0),"-")</f>
      </c>
      <c r="Y16">
        <f>IF(Y$12&gt;0,ROUNDUP($D16/Y$12,0),"-")</f>
      </c>
      <c r="Z16">
        <f>IF(Z$12&gt;0,ROUNDUP($D16/Z$12,0),"-")</f>
      </c>
      <c r="AA16">
        <f>IF(AA$12&gt;0,ROUNDUP($D16/AA$12,0),"-")</f>
      </c>
      <c r="AB16">
        <f>IF(AB$12&gt;0,ROUNDUP($D16/AB$12,0),"-")</f>
      </c>
      <c r="AC16">
        <f>IF(AC$12&gt;0,ROUNDUP($D16/AC$12,0),"-")</f>
      </c>
      <c r="AD16">
        <f>IF(AD$12&gt;0,ROUNDUP($D16/AD$12,0),"-")</f>
      </c>
      <c r="AE16">
        <f>IF(AE$12&gt;0,ROUNDUP($D16/AE$12,0),"-")</f>
      </c>
      <c r="AF16">
        <f>IF(AF$12&gt;0,ROUNDUP($D16/AF$12,0),"-")</f>
      </c>
      <c r="AG16">
        <f>IF(AG$12&gt;0,ROUNDUP($D16/AG$12,0),"-")</f>
      </c>
      <c r="AH16">
        <f>IF(AH$12&gt;0,ROUNDUP($D16/AH$12,0),"-")</f>
      </c>
      <c r="AI16">
        <f>IF(AI$12&gt;0,ROUNDUP($D16/AI$12,0),"-")</f>
      </c>
      <c r="AJ16">
        <f>IF(AJ$12&gt;0,ROUNDUP($D16/AJ$12,0),"-")</f>
      </c>
      <c r="AK16">
        <f>IF(AK$12&gt;0,ROUNDUP($D16/AK$12,0),"-")</f>
      </c>
      <c r="AL16">
        <f>IF(AL$12&gt;0,ROUNDUP($D16/AL$12,0),"-")</f>
      </c>
      <c r="AM16">
        <f>IF(AM$12&gt;0,ROUNDUP($D16/AM$12,0),"-")</f>
      </c>
      <c r="AN16">
        <f>IF(AN$12&gt;0,ROUNDUP($D16/AN$12,0),"-")</f>
      </c>
      <c r="AO16">
        <f>IF(AO$12&gt;0,ROUNDUP($D16/AO$12,0),"-")</f>
      </c>
      <c r="AP16">
        <f>IF(AP$12&gt;0,ROUNDUP($D16/AP$12,0),"-")</f>
      </c>
      <c r="AQ16">
        <f>IF(AQ$12&gt;0,ROUNDUP($D16/AQ$12,0),"-")</f>
      </c>
      <c r="AR16">
        <f>IF(AR$12&gt;0,ROUNDUP($D16/AR$12,0),"-")</f>
      </c>
      <c r="AS16">
        <f>IF(AS$12&gt;0,ROUNDUP($D16/AS$12,0),"-")</f>
      </c>
      <c r="AT16">
        <f>IF(AT$12&gt;0,ROUNDUP($D16/AT$12,0),"-")</f>
      </c>
      <c r="AU16">
        <f>IF(AU$12&gt;0,ROUNDUP($D16/AU$12,0),"-")</f>
      </c>
      <c r="AV16">
        <f>IF(AV$12&gt;0,ROUNDUP($D16/AV$12,0),"-")</f>
      </c>
      <c r="AW16">
        <f>IF(AW$12&gt;0,ROUNDUP($D16/AW$12,0),"-")</f>
      </c>
      <c r="AX16">
        <f>IF(AX$12&gt;0,ROUNDUP($D16/AX$12,0),"-")</f>
      </c>
      <c r="AY16">
        <f>IF(AY$12&gt;0,ROUNDUP($D16/AY$12,0),"-")</f>
      </c>
      <c r="AZ16">
        <f>IF(AZ$12&gt;0,ROUNDUP($D16/AZ$12,0),"-")</f>
      </c>
      <c r="BA16">
        <f>IF(BA$12&gt;0,ROUNDUP($D16/BA$12,0),"-")</f>
      </c>
    </row>
    <row r="17" spans="1:53" x14ac:dyDescent="0.25">
      <c r="A17" t="s">
        <v>37</v>
      </c>
      <c r="B17">
        <f>INDEX(enemigos!$B$3:$B$500,MATCH($A17,enemigos!$A$3:$A$500,0))</f>
      </c>
      <c r="C17">
        <f>INDEX(enemigos!$C$3:$C$500,MATCH($A17,enemigos!$A$3:$A$500,0))</f>
      </c>
      <c r="D17">
        <f>IF($C17="bicho",INDEX(enemigos!$D$3:$D$500,MATCH($A17,enemigos!$A$3:$A$500,0))*INDEX(ritmo!$B$3:$B$500,MATCH("dureza_vida",ritmo!$A$3:$A$500,0))*(1+$B$4/INDEX(ritmo!$B$3:$B$500,MATCH("vida_escala_seg",ritmo!$A$3:$A$500,0))),INDEX(enemigos!$D$3:$D$500,MATCH($A17,enemigos!$A$3:$A$500,0)))</f>
      </c>
      <c r="E17">
        <f>IF(E$12&gt;0,ROUNDUP($D17/E$12,0),"-")</f>
      </c>
      <c r="F17">
        <f>IF(F$12&gt;0,ROUNDUP($D17/F$12,0),"-")</f>
      </c>
      <c r="G17">
        <f>IF(G$12&gt;0,ROUNDUP($D17/G$12,0),"-")</f>
      </c>
      <c r="H17">
        <f>IF(H$12&gt;0,ROUNDUP($D17/H$12,0),"-")</f>
      </c>
      <c r="I17">
        <f>IF(I$12&gt;0,ROUNDUP($D17/I$12,0),"-")</f>
      </c>
      <c r="J17">
        <f>IF(J$12&gt;0,ROUNDUP($D17/J$12,0),"-")</f>
      </c>
      <c r="K17">
        <f>IF(K$12&gt;0,ROUNDUP($D17/K$12,0),"-")</f>
      </c>
      <c r="L17">
        <f>IF(L$12&gt;0,ROUNDUP($D17/L$12,0),"-")</f>
      </c>
      <c r="M17">
        <f>IF(M$12&gt;0,ROUNDUP($D17/M$12,0),"-")</f>
      </c>
      <c r="N17">
        <f>IF(N$12&gt;0,ROUNDUP($D17/N$12,0),"-")</f>
      </c>
      <c r="O17">
        <f>IF(O$12&gt;0,ROUNDUP($D17/O$12,0),"-")</f>
      </c>
      <c r="P17">
        <f>IF(P$12&gt;0,ROUNDUP($D17/P$12,0),"-")</f>
      </c>
      <c r="Q17">
        <f>IF(Q$12&gt;0,ROUNDUP($D17/Q$12,0),"-")</f>
      </c>
      <c r="R17">
        <f>IF(R$12&gt;0,ROUNDUP($D17/R$12,0),"-")</f>
      </c>
      <c r="S17">
        <f>IF(S$12&gt;0,ROUNDUP($D17/S$12,0),"-")</f>
      </c>
      <c r="T17">
        <f>IF(T$12&gt;0,ROUNDUP($D17/T$12,0),"-")</f>
      </c>
      <c r="U17">
        <f>IF(U$12&gt;0,ROUNDUP($D17/U$12,0),"-")</f>
      </c>
      <c r="V17">
        <f>IF(V$12&gt;0,ROUNDUP($D17/V$12,0),"-")</f>
      </c>
      <c r="W17">
        <f>IF(W$12&gt;0,ROUNDUP($D17/W$12,0),"-")</f>
      </c>
      <c r="X17">
        <f>IF(X$12&gt;0,ROUNDUP($D17/X$12,0),"-")</f>
      </c>
      <c r="Y17">
        <f>IF(Y$12&gt;0,ROUNDUP($D17/Y$12,0),"-")</f>
      </c>
      <c r="Z17">
        <f>IF(Z$12&gt;0,ROUNDUP($D17/Z$12,0),"-")</f>
      </c>
      <c r="AA17">
        <f>IF(AA$12&gt;0,ROUNDUP($D17/AA$12,0),"-")</f>
      </c>
      <c r="AB17">
        <f>IF(AB$12&gt;0,ROUNDUP($D17/AB$12,0),"-")</f>
      </c>
      <c r="AC17">
        <f>IF(AC$12&gt;0,ROUNDUP($D17/AC$12,0),"-")</f>
      </c>
      <c r="AD17">
        <f>IF(AD$12&gt;0,ROUNDUP($D17/AD$12,0),"-")</f>
      </c>
      <c r="AE17">
        <f>IF(AE$12&gt;0,ROUNDUP($D17/AE$12,0),"-")</f>
      </c>
      <c r="AF17">
        <f>IF(AF$12&gt;0,ROUNDUP($D17/AF$12,0),"-")</f>
      </c>
      <c r="AG17">
        <f>IF(AG$12&gt;0,ROUNDUP($D17/AG$12,0),"-")</f>
      </c>
      <c r="AH17">
        <f>IF(AH$12&gt;0,ROUNDUP($D17/AH$12,0),"-")</f>
      </c>
      <c r="AI17">
        <f>IF(AI$12&gt;0,ROUNDUP($D17/AI$12,0),"-")</f>
      </c>
      <c r="AJ17">
        <f>IF(AJ$12&gt;0,ROUNDUP($D17/AJ$12,0),"-")</f>
      </c>
      <c r="AK17">
        <f>IF(AK$12&gt;0,ROUNDUP($D17/AK$12,0),"-")</f>
      </c>
      <c r="AL17">
        <f>IF(AL$12&gt;0,ROUNDUP($D17/AL$12,0),"-")</f>
      </c>
      <c r="AM17">
        <f>IF(AM$12&gt;0,ROUNDUP($D17/AM$12,0),"-")</f>
      </c>
      <c r="AN17">
        <f>IF(AN$12&gt;0,ROUNDUP($D17/AN$12,0),"-")</f>
      </c>
      <c r="AO17">
        <f>IF(AO$12&gt;0,ROUNDUP($D17/AO$12,0),"-")</f>
      </c>
      <c r="AP17">
        <f>IF(AP$12&gt;0,ROUNDUP($D17/AP$12,0),"-")</f>
      </c>
      <c r="AQ17">
        <f>IF(AQ$12&gt;0,ROUNDUP($D17/AQ$12,0),"-")</f>
      </c>
      <c r="AR17">
        <f>IF(AR$12&gt;0,ROUNDUP($D17/AR$12,0),"-")</f>
      </c>
      <c r="AS17">
        <f>IF(AS$12&gt;0,ROUNDUP($D17/AS$12,0),"-")</f>
      </c>
      <c r="AT17">
        <f>IF(AT$12&gt;0,ROUNDUP($D17/AT$12,0),"-")</f>
      </c>
      <c r="AU17">
        <f>IF(AU$12&gt;0,ROUNDUP($D17/AU$12,0),"-")</f>
      </c>
      <c r="AV17">
        <f>IF(AV$12&gt;0,ROUNDUP($D17/AV$12,0),"-")</f>
      </c>
      <c r="AW17">
        <f>IF(AW$12&gt;0,ROUNDUP($D17/AW$12,0),"-")</f>
      </c>
      <c r="AX17">
        <f>IF(AX$12&gt;0,ROUNDUP($D17/AX$12,0),"-")</f>
      </c>
      <c r="AY17">
        <f>IF(AY$12&gt;0,ROUNDUP($D17/AY$12,0),"-")</f>
      </c>
      <c r="AZ17">
        <f>IF(AZ$12&gt;0,ROUNDUP($D17/AZ$12,0),"-")</f>
      </c>
      <c r="BA17">
        <f>IF(BA$12&gt;0,ROUNDUP($D17/BA$12,0),"-")</f>
      </c>
    </row>
    <row r="18" spans="1:53" x14ac:dyDescent="0.25">
      <c r="A18" t="s">
        <v>39</v>
      </c>
      <c r="B18">
        <f>INDEX(enemigos!$B$3:$B$500,MATCH($A18,enemigos!$A$3:$A$500,0))</f>
      </c>
      <c r="C18">
        <f>INDEX(enemigos!$C$3:$C$500,MATCH($A18,enemigos!$A$3:$A$500,0))</f>
      </c>
      <c r="D18">
        <f>IF($C18="bicho",INDEX(enemigos!$D$3:$D$500,MATCH($A18,enemigos!$A$3:$A$500,0))*INDEX(ritmo!$B$3:$B$500,MATCH("dureza_vida",ritmo!$A$3:$A$500,0))*(1+$B$4/INDEX(ritmo!$B$3:$B$500,MATCH("vida_escala_seg",ritmo!$A$3:$A$500,0))),INDEX(enemigos!$D$3:$D$500,MATCH($A18,enemigos!$A$3:$A$500,0)))</f>
      </c>
      <c r="E18">
        <f>IF(E$12&gt;0,ROUNDUP($D18/E$12,0),"-")</f>
      </c>
      <c r="F18">
        <f>IF(F$12&gt;0,ROUNDUP($D18/F$12,0),"-")</f>
      </c>
      <c r="G18">
        <f>IF(G$12&gt;0,ROUNDUP($D18/G$12,0),"-")</f>
      </c>
      <c r="H18">
        <f>IF(H$12&gt;0,ROUNDUP($D18/H$12,0),"-")</f>
      </c>
      <c r="I18">
        <f>IF(I$12&gt;0,ROUNDUP($D18/I$12,0),"-")</f>
      </c>
      <c r="J18">
        <f>IF(J$12&gt;0,ROUNDUP($D18/J$12,0),"-")</f>
      </c>
      <c r="K18">
        <f>IF(K$12&gt;0,ROUNDUP($D18/K$12,0),"-")</f>
      </c>
      <c r="L18">
        <f>IF(L$12&gt;0,ROUNDUP($D18/L$12,0),"-")</f>
      </c>
      <c r="M18">
        <f>IF(M$12&gt;0,ROUNDUP($D18/M$12,0),"-")</f>
      </c>
      <c r="N18">
        <f>IF(N$12&gt;0,ROUNDUP($D18/N$12,0),"-")</f>
      </c>
      <c r="O18">
        <f>IF(O$12&gt;0,ROUNDUP($D18/O$12,0),"-")</f>
      </c>
      <c r="P18">
        <f>IF(P$12&gt;0,ROUNDUP($D18/P$12,0),"-")</f>
      </c>
      <c r="Q18">
        <f>IF(Q$12&gt;0,ROUNDUP($D18/Q$12,0),"-")</f>
      </c>
      <c r="R18">
        <f>IF(R$12&gt;0,ROUNDUP($D18/R$12,0),"-")</f>
      </c>
      <c r="S18">
        <f>IF(S$12&gt;0,ROUNDUP($D18/S$12,0),"-")</f>
      </c>
      <c r="T18">
        <f>IF(T$12&gt;0,ROUNDUP($D18/T$12,0),"-")</f>
      </c>
      <c r="U18">
        <f>IF(U$12&gt;0,ROUNDUP($D18/U$12,0),"-")</f>
      </c>
      <c r="V18">
        <f>IF(V$12&gt;0,ROUNDUP($D18/V$12,0),"-")</f>
      </c>
      <c r="W18">
        <f>IF(W$12&gt;0,ROUNDUP($D18/W$12,0),"-")</f>
      </c>
      <c r="X18">
        <f>IF(X$12&gt;0,ROUNDUP($D18/X$12,0),"-")</f>
      </c>
      <c r="Y18">
        <f>IF(Y$12&gt;0,ROUNDUP($D18/Y$12,0),"-")</f>
      </c>
      <c r="Z18">
        <f>IF(Z$12&gt;0,ROUNDUP($D18/Z$12,0),"-")</f>
      </c>
      <c r="AA18">
        <f>IF(AA$12&gt;0,ROUNDUP($D18/AA$12,0),"-")</f>
      </c>
      <c r="AB18">
        <f>IF(AB$12&gt;0,ROUNDUP($D18/AB$12,0),"-")</f>
      </c>
      <c r="AC18">
        <f>IF(AC$12&gt;0,ROUNDUP($D18/AC$12,0),"-")</f>
      </c>
      <c r="AD18">
        <f>IF(AD$12&gt;0,ROUNDUP($D18/AD$12,0),"-")</f>
      </c>
      <c r="AE18">
        <f>IF(AE$12&gt;0,ROUNDUP($D18/AE$12,0),"-")</f>
      </c>
      <c r="AF18">
        <f>IF(AF$12&gt;0,ROUNDUP($D18/AF$12,0),"-")</f>
      </c>
      <c r="AG18">
        <f>IF(AG$12&gt;0,ROUNDUP($D18/AG$12,0),"-")</f>
      </c>
      <c r="AH18">
        <f>IF(AH$12&gt;0,ROUNDUP($D18/AH$12,0),"-")</f>
      </c>
      <c r="AI18">
        <f>IF(AI$12&gt;0,ROUNDUP($D18/AI$12,0),"-")</f>
      </c>
      <c r="AJ18">
        <f>IF(AJ$12&gt;0,ROUNDUP($D18/AJ$12,0),"-")</f>
      </c>
      <c r="AK18">
        <f>IF(AK$12&gt;0,ROUNDUP($D18/AK$12,0),"-")</f>
      </c>
      <c r="AL18">
        <f>IF(AL$12&gt;0,ROUNDUP($D18/AL$12,0),"-")</f>
      </c>
      <c r="AM18">
        <f>IF(AM$12&gt;0,ROUNDUP($D18/AM$12,0),"-")</f>
      </c>
      <c r="AN18">
        <f>IF(AN$12&gt;0,ROUNDUP($D18/AN$12,0),"-")</f>
      </c>
      <c r="AO18">
        <f>IF(AO$12&gt;0,ROUNDUP($D18/AO$12,0),"-")</f>
      </c>
      <c r="AP18">
        <f>IF(AP$12&gt;0,ROUNDUP($D18/AP$12,0),"-")</f>
      </c>
      <c r="AQ18">
        <f>IF(AQ$12&gt;0,ROUNDUP($D18/AQ$12,0),"-")</f>
      </c>
      <c r="AR18">
        <f>IF(AR$12&gt;0,ROUNDUP($D18/AR$12,0),"-")</f>
      </c>
      <c r="AS18">
        <f>IF(AS$12&gt;0,ROUNDUP($D18/AS$12,0),"-")</f>
      </c>
      <c r="AT18">
        <f>IF(AT$12&gt;0,ROUNDUP($D18/AT$12,0),"-")</f>
      </c>
      <c r="AU18">
        <f>IF(AU$12&gt;0,ROUNDUP($D18/AU$12,0),"-")</f>
      </c>
      <c r="AV18">
        <f>IF(AV$12&gt;0,ROUNDUP($D18/AV$12,0),"-")</f>
      </c>
      <c r="AW18">
        <f>IF(AW$12&gt;0,ROUNDUP($D18/AW$12,0),"-")</f>
      </c>
      <c r="AX18">
        <f>IF(AX$12&gt;0,ROUNDUP($D18/AX$12,0),"-")</f>
      </c>
      <c r="AY18">
        <f>IF(AY$12&gt;0,ROUNDUP($D18/AY$12,0),"-")</f>
      </c>
      <c r="AZ18">
        <f>IF(AZ$12&gt;0,ROUNDUP($D18/AZ$12,0),"-")</f>
      </c>
      <c r="BA18">
        <f>IF(BA$12&gt;0,ROUNDUP($D18/BA$12,0),"-")</f>
      </c>
    </row>
    <row r="19" spans="1:53" x14ac:dyDescent="0.25">
      <c r="A19" t="s">
        <v>41</v>
      </c>
      <c r="B19">
        <f>INDEX(enemigos!$B$3:$B$500,MATCH($A19,enemigos!$A$3:$A$500,0))</f>
      </c>
      <c r="C19">
        <f>INDEX(enemigos!$C$3:$C$500,MATCH($A19,enemigos!$A$3:$A$500,0))</f>
      </c>
      <c r="D19">
        <f>IF($C19="bicho",INDEX(enemigos!$D$3:$D$500,MATCH($A19,enemigos!$A$3:$A$500,0))*INDEX(ritmo!$B$3:$B$500,MATCH("dureza_vida",ritmo!$A$3:$A$500,0))*(1+$B$4/INDEX(ritmo!$B$3:$B$500,MATCH("vida_escala_seg",ritmo!$A$3:$A$500,0))),INDEX(enemigos!$D$3:$D$500,MATCH($A19,enemigos!$A$3:$A$500,0)))</f>
      </c>
      <c r="E19">
        <f>IF(E$12&gt;0,ROUNDUP($D19/E$12,0),"-")</f>
      </c>
      <c r="F19">
        <f>IF(F$12&gt;0,ROUNDUP($D19/F$12,0),"-")</f>
      </c>
      <c r="G19">
        <f>IF(G$12&gt;0,ROUNDUP($D19/G$12,0),"-")</f>
      </c>
      <c r="H19">
        <f>IF(H$12&gt;0,ROUNDUP($D19/H$12,0),"-")</f>
      </c>
      <c r="I19">
        <f>IF(I$12&gt;0,ROUNDUP($D19/I$12,0),"-")</f>
      </c>
      <c r="J19">
        <f>IF(J$12&gt;0,ROUNDUP($D19/J$12,0),"-")</f>
      </c>
      <c r="K19">
        <f>IF(K$12&gt;0,ROUNDUP($D19/K$12,0),"-")</f>
      </c>
      <c r="L19">
        <f>IF(L$12&gt;0,ROUNDUP($D19/L$12,0),"-")</f>
      </c>
      <c r="M19">
        <f>IF(M$12&gt;0,ROUNDUP($D19/M$12,0),"-")</f>
      </c>
      <c r="N19">
        <f>IF(N$12&gt;0,ROUNDUP($D19/N$12,0),"-")</f>
      </c>
      <c r="O19">
        <f>IF(O$12&gt;0,ROUNDUP($D19/O$12,0),"-")</f>
      </c>
      <c r="P19">
        <f>IF(P$12&gt;0,ROUNDUP($D19/P$12,0),"-")</f>
      </c>
      <c r="Q19">
        <f>IF(Q$12&gt;0,ROUNDUP($D19/Q$12,0),"-")</f>
      </c>
      <c r="R19">
        <f>IF(R$12&gt;0,ROUNDUP($D19/R$12,0),"-")</f>
      </c>
      <c r="S19">
        <f>IF(S$12&gt;0,ROUNDUP($D19/S$12,0),"-")</f>
      </c>
      <c r="T19">
        <f>IF(T$12&gt;0,ROUNDUP($D19/T$12,0),"-")</f>
      </c>
      <c r="U19">
        <f>IF(U$12&gt;0,ROUNDUP($D19/U$12,0),"-")</f>
      </c>
      <c r="V19">
        <f>IF(V$12&gt;0,ROUNDUP($D19/V$12,0),"-")</f>
      </c>
      <c r="W19">
        <f>IF(W$12&gt;0,ROUNDUP($D19/W$12,0),"-")</f>
      </c>
      <c r="X19">
        <f>IF(X$12&gt;0,ROUNDUP($D19/X$12,0),"-")</f>
      </c>
      <c r="Y19">
        <f>IF(Y$12&gt;0,ROUNDUP($D19/Y$12,0),"-")</f>
      </c>
      <c r="Z19">
        <f>IF(Z$12&gt;0,ROUNDUP($D19/Z$12,0),"-")</f>
      </c>
      <c r="AA19">
        <f>IF(AA$12&gt;0,ROUNDUP($D19/AA$12,0),"-")</f>
      </c>
      <c r="AB19">
        <f>IF(AB$12&gt;0,ROUNDUP($D19/AB$12,0),"-")</f>
      </c>
      <c r="AC19">
        <f>IF(AC$12&gt;0,ROUNDUP($D19/AC$12,0),"-")</f>
      </c>
      <c r="AD19">
        <f>IF(AD$12&gt;0,ROUNDUP($D19/AD$12,0),"-")</f>
      </c>
      <c r="AE19">
        <f>IF(AE$12&gt;0,ROUNDUP($D19/AE$12,0),"-")</f>
      </c>
      <c r="AF19">
        <f>IF(AF$12&gt;0,ROUNDUP($D19/AF$12,0),"-")</f>
      </c>
      <c r="AG19">
        <f>IF(AG$12&gt;0,ROUNDUP($D19/AG$12,0),"-")</f>
      </c>
      <c r="AH19">
        <f>IF(AH$12&gt;0,ROUNDUP($D19/AH$12,0),"-")</f>
      </c>
      <c r="AI19">
        <f>IF(AI$12&gt;0,ROUNDUP($D19/AI$12,0),"-")</f>
      </c>
      <c r="AJ19">
        <f>IF(AJ$12&gt;0,ROUNDUP($D19/AJ$12,0),"-")</f>
      </c>
      <c r="AK19">
        <f>IF(AK$12&gt;0,ROUNDUP($D19/AK$12,0),"-")</f>
      </c>
      <c r="AL19">
        <f>IF(AL$12&gt;0,ROUNDUP($D19/AL$12,0),"-")</f>
      </c>
      <c r="AM19">
        <f>IF(AM$12&gt;0,ROUNDUP($D19/AM$12,0),"-")</f>
      </c>
      <c r="AN19">
        <f>IF(AN$12&gt;0,ROUNDUP($D19/AN$12,0),"-")</f>
      </c>
      <c r="AO19">
        <f>IF(AO$12&gt;0,ROUNDUP($D19/AO$12,0),"-")</f>
      </c>
      <c r="AP19">
        <f>IF(AP$12&gt;0,ROUNDUP($D19/AP$12,0),"-")</f>
      </c>
      <c r="AQ19">
        <f>IF(AQ$12&gt;0,ROUNDUP($D19/AQ$12,0),"-")</f>
      </c>
      <c r="AR19">
        <f>IF(AR$12&gt;0,ROUNDUP($D19/AR$12,0),"-")</f>
      </c>
      <c r="AS19">
        <f>IF(AS$12&gt;0,ROUNDUP($D19/AS$12,0),"-")</f>
      </c>
      <c r="AT19">
        <f>IF(AT$12&gt;0,ROUNDUP($D19/AT$12,0),"-")</f>
      </c>
      <c r="AU19">
        <f>IF(AU$12&gt;0,ROUNDUP($D19/AU$12,0),"-")</f>
      </c>
      <c r="AV19">
        <f>IF(AV$12&gt;0,ROUNDUP($D19/AV$12,0),"-")</f>
      </c>
      <c r="AW19">
        <f>IF(AW$12&gt;0,ROUNDUP($D19/AW$12,0),"-")</f>
      </c>
      <c r="AX19">
        <f>IF(AX$12&gt;0,ROUNDUP($D19/AX$12,0),"-")</f>
      </c>
      <c r="AY19">
        <f>IF(AY$12&gt;0,ROUNDUP($D19/AY$12,0),"-")</f>
      </c>
      <c r="AZ19">
        <f>IF(AZ$12&gt;0,ROUNDUP($D19/AZ$12,0),"-")</f>
      </c>
      <c r="BA19">
        <f>IF(BA$12&gt;0,ROUNDUP($D19/BA$12,0),"-")</f>
      </c>
    </row>
    <row r="20" spans="1:53" x14ac:dyDescent="0.25">
      <c r="A20" t="s">
        <v>44</v>
      </c>
      <c r="B20">
        <f>INDEX(enemigos!$B$3:$B$500,MATCH($A20,enemigos!$A$3:$A$500,0))</f>
      </c>
      <c r="C20">
        <f>INDEX(enemigos!$C$3:$C$500,MATCH($A20,enemigos!$A$3:$A$500,0))</f>
      </c>
      <c r="D20">
        <f>IF($C20="bicho",INDEX(enemigos!$D$3:$D$500,MATCH($A20,enemigos!$A$3:$A$500,0))*INDEX(ritmo!$B$3:$B$500,MATCH("dureza_vida",ritmo!$A$3:$A$500,0))*(1+$B$4/INDEX(ritmo!$B$3:$B$500,MATCH("vida_escala_seg",ritmo!$A$3:$A$500,0))),INDEX(enemigos!$D$3:$D$500,MATCH($A20,enemigos!$A$3:$A$500,0)))</f>
      </c>
      <c r="E20">
        <f>IF(E$12&gt;0,ROUNDUP($D20/E$12,0),"-")</f>
      </c>
      <c r="F20">
        <f>IF(F$12&gt;0,ROUNDUP($D20/F$12,0),"-")</f>
      </c>
      <c r="G20">
        <f>IF(G$12&gt;0,ROUNDUP($D20/G$12,0),"-")</f>
      </c>
      <c r="H20">
        <f>IF(H$12&gt;0,ROUNDUP($D20/H$12,0),"-")</f>
      </c>
      <c r="I20">
        <f>IF(I$12&gt;0,ROUNDUP($D20/I$12,0),"-")</f>
      </c>
      <c r="J20">
        <f>IF(J$12&gt;0,ROUNDUP($D20/J$12,0),"-")</f>
      </c>
      <c r="K20">
        <f>IF(K$12&gt;0,ROUNDUP($D20/K$12,0),"-")</f>
      </c>
      <c r="L20">
        <f>IF(L$12&gt;0,ROUNDUP($D20/L$12,0),"-")</f>
      </c>
      <c r="M20">
        <f>IF(M$12&gt;0,ROUNDUP($D20/M$12,0),"-")</f>
      </c>
      <c r="N20">
        <f>IF(N$12&gt;0,ROUNDUP($D20/N$12,0),"-")</f>
      </c>
      <c r="O20">
        <f>IF(O$12&gt;0,ROUNDUP($D20/O$12,0),"-")</f>
      </c>
      <c r="P20">
        <f>IF(P$12&gt;0,ROUNDUP($D20/P$12,0),"-")</f>
      </c>
      <c r="Q20">
        <f>IF(Q$12&gt;0,ROUNDUP($D20/Q$12,0),"-")</f>
      </c>
      <c r="R20">
        <f>IF(R$12&gt;0,ROUNDUP($D20/R$12,0),"-")</f>
      </c>
      <c r="S20">
        <f>IF(S$12&gt;0,ROUNDUP($D20/S$12,0),"-")</f>
      </c>
      <c r="T20">
        <f>IF(T$12&gt;0,ROUNDUP($D20/T$12,0),"-")</f>
      </c>
      <c r="U20">
        <f>IF(U$12&gt;0,ROUNDUP($D20/U$12,0),"-")</f>
      </c>
      <c r="V20">
        <f>IF(V$12&gt;0,ROUNDUP($D20/V$12,0),"-")</f>
      </c>
      <c r="W20">
        <f>IF(W$12&gt;0,ROUNDUP($D20/W$12,0),"-")</f>
      </c>
      <c r="X20">
        <f>IF(X$12&gt;0,ROUNDUP($D20/X$12,0),"-")</f>
      </c>
      <c r="Y20">
        <f>IF(Y$12&gt;0,ROUNDUP($D20/Y$12,0),"-")</f>
      </c>
      <c r="Z20">
        <f>IF(Z$12&gt;0,ROUNDUP($D20/Z$12,0),"-")</f>
      </c>
      <c r="AA20">
        <f>IF(AA$12&gt;0,ROUNDUP($D20/AA$12,0),"-")</f>
      </c>
      <c r="AB20">
        <f>IF(AB$12&gt;0,ROUNDUP($D20/AB$12,0),"-")</f>
      </c>
      <c r="AC20">
        <f>IF(AC$12&gt;0,ROUNDUP($D20/AC$12,0),"-")</f>
      </c>
      <c r="AD20">
        <f>IF(AD$12&gt;0,ROUNDUP($D20/AD$12,0),"-")</f>
      </c>
      <c r="AE20">
        <f>IF(AE$12&gt;0,ROUNDUP($D20/AE$12,0),"-")</f>
      </c>
      <c r="AF20">
        <f>IF(AF$12&gt;0,ROUNDUP($D20/AF$12,0),"-")</f>
      </c>
      <c r="AG20">
        <f>IF(AG$12&gt;0,ROUNDUP($D20/AG$12,0),"-")</f>
      </c>
      <c r="AH20">
        <f>IF(AH$12&gt;0,ROUNDUP($D20/AH$12,0),"-")</f>
      </c>
      <c r="AI20">
        <f>IF(AI$12&gt;0,ROUNDUP($D20/AI$12,0),"-")</f>
      </c>
      <c r="AJ20">
        <f>IF(AJ$12&gt;0,ROUNDUP($D20/AJ$12,0),"-")</f>
      </c>
      <c r="AK20">
        <f>IF(AK$12&gt;0,ROUNDUP($D20/AK$12,0),"-")</f>
      </c>
      <c r="AL20">
        <f>IF(AL$12&gt;0,ROUNDUP($D20/AL$12,0),"-")</f>
      </c>
      <c r="AM20">
        <f>IF(AM$12&gt;0,ROUNDUP($D20/AM$12,0),"-")</f>
      </c>
      <c r="AN20">
        <f>IF(AN$12&gt;0,ROUNDUP($D20/AN$12,0),"-")</f>
      </c>
      <c r="AO20">
        <f>IF(AO$12&gt;0,ROUNDUP($D20/AO$12,0),"-")</f>
      </c>
      <c r="AP20">
        <f>IF(AP$12&gt;0,ROUNDUP($D20/AP$12,0),"-")</f>
      </c>
      <c r="AQ20">
        <f>IF(AQ$12&gt;0,ROUNDUP($D20/AQ$12,0),"-")</f>
      </c>
      <c r="AR20">
        <f>IF(AR$12&gt;0,ROUNDUP($D20/AR$12,0),"-")</f>
      </c>
      <c r="AS20">
        <f>IF(AS$12&gt;0,ROUNDUP($D20/AS$12,0),"-")</f>
      </c>
      <c r="AT20">
        <f>IF(AT$12&gt;0,ROUNDUP($D20/AT$12,0),"-")</f>
      </c>
      <c r="AU20">
        <f>IF(AU$12&gt;0,ROUNDUP($D20/AU$12,0),"-")</f>
      </c>
      <c r="AV20">
        <f>IF(AV$12&gt;0,ROUNDUP($D20/AV$12,0),"-")</f>
      </c>
      <c r="AW20">
        <f>IF(AW$12&gt;0,ROUNDUP($D20/AW$12,0),"-")</f>
      </c>
      <c r="AX20">
        <f>IF(AX$12&gt;0,ROUNDUP($D20/AX$12,0),"-")</f>
      </c>
      <c r="AY20">
        <f>IF(AY$12&gt;0,ROUNDUP($D20/AY$12,0),"-")</f>
      </c>
      <c r="AZ20">
        <f>IF(AZ$12&gt;0,ROUNDUP($D20/AZ$12,0),"-")</f>
      </c>
      <c r="BA20">
        <f>IF(BA$12&gt;0,ROUNDUP($D20/BA$12,0),"-")</f>
      </c>
    </row>
    <row r="21" spans="1:53" x14ac:dyDescent="0.25">
      <c r="A21" t="s">
        <v>46</v>
      </c>
      <c r="B21">
        <f>INDEX(enemigos!$B$3:$B$500,MATCH($A21,enemigos!$A$3:$A$500,0))</f>
      </c>
      <c r="C21">
        <f>INDEX(enemigos!$C$3:$C$500,MATCH($A21,enemigos!$A$3:$A$500,0))</f>
      </c>
      <c r="D21">
        <f>IF($C21="bicho",INDEX(enemigos!$D$3:$D$500,MATCH($A21,enemigos!$A$3:$A$500,0))*INDEX(ritmo!$B$3:$B$500,MATCH("dureza_vida",ritmo!$A$3:$A$500,0))*(1+$B$4/INDEX(ritmo!$B$3:$B$500,MATCH("vida_escala_seg",ritmo!$A$3:$A$500,0))),INDEX(enemigos!$D$3:$D$500,MATCH($A21,enemigos!$A$3:$A$500,0)))</f>
      </c>
      <c r="E21">
        <f>IF(E$12&gt;0,ROUNDUP($D21/E$12,0),"-")</f>
      </c>
      <c r="F21">
        <f>IF(F$12&gt;0,ROUNDUP($D21/F$12,0),"-")</f>
      </c>
      <c r="G21">
        <f>IF(G$12&gt;0,ROUNDUP($D21/G$12,0),"-")</f>
      </c>
      <c r="H21">
        <f>IF(H$12&gt;0,ROUNDUP($D21/H$12,0),"-")</f>
      </c>
      <c r="I21">
        <f>IF(I$12&gt;0,ROUNDUP($D21/I$12,0),"-")</f>
      </c>
      <c r="J21">
        <f>IF(J$12&gt;0,ROUNDUP($D21/J$12,0),"-")</f>
      </c>
      <c r="K21">
        <f>IF(K$12&gt;0,ROUNDUP($D21/K$12,0),"-")</f>
      </c>
      <c r="L21">
        <f>IF(L$12&gt;0,ROUNDUP($D21/L$12,0),"-")</f>
      </c>
      <c r="M21">
        <f>IF(M$12&gt;0,ROUNDUP($D21/M$12,0),"-")</f>
      </c>
      <c r="N21">
        <f>IF(N$12&gt;0,ROUNDUP($D21/N$12,0),"-")</f>
      </c>
      <c r="O21">
        <f>IF(O$12&gt;0,ROUNDUP($D21/O$12,0),"-")</f>
      </c>
      <c r="P21">
        <f>IF(P$12&gt;0,ROUNDUP($D21/P$12,0),"-")</f>
      </c>
      <c r="Q21">
        <f>IF(Q$12&gt;0,ROUNDUP($D21/Q$12,0),"-")</f>
      </c>
      <c r="R21">
        <f>IF(R$12&gt;0,ROUNDUP($D21/R$12,0),"-")</f>
      </c>
      <c r="S21">
        <f>IF(S$12&gt;0,ROUNDUP($D21/S$12,0),"-")</f>
      </c>
      <c r="T21">
        <f>IF(T$12&gt;0,ROUNDUP($D21/T$12,0),"-")</f>
      </c>
      <c r="U21">
        <f>IF(U$12&gt;0,ROUNDUP($D21/U$12,0),"-")</f>
      </c>
      <c r="V21">
        <f>IF(V$12&gt;0,ROUNDUP($D21/V$12,0),"-")</f>
      </c>
      <c r="W21">
        <f>IF(W$12&gt;0,ROUNDUP($D21/W$12,0),"-")</f>
      </c>
      <c r="X21">
        <f>IF(X$12&gt;0,ROUNDUP($D21/X$12,0),"-")</f>
      </c>
      <c r="Y21">
        <f>IF(Y$12&gt;0,ROUNDUP($D21/Y$12,0),"-")</f>
      </c>
      <c r="Z21">
        <f>IF(Z$12&gt;0,ROUNDUP($D21/Z$12,0),"-")</f>
      </c>
      <c r="AA21">
        <f>IF(AA$12&gt;0,ROUNDUP($D21/AA$12,0),"-")</f>
      </c>
      <c r="AB21">
        <f>IF(AB$12&gt;0,ROUNDUP($D21/AB$12,0),"-")</f>
      </c>
      <c r="AC21">
        <f>IF(AC$12&gt;0,ROUNDUP($D21/AC$12,0),"-")</f>
      </c>
      <c r="AD21">
        <f>IF(AD$12&gt;0,ROUNDUP($D21/AD$12,0),"-")</f>
      </c>
      <c r="AE21">
        <f>IF(AE$12&gt;0,ROUNDUP($D21/AE$12,0),"-")</f>
      </c>
      <c r="AF21">
        <f>IF(AF$12&gt;0,ROUNDUP($D21/AF$12,0),"-")</f>
      </c>
      <c r="AG21">
        <f>IF(AG$12&gt;0,ROUNDUP($D21/AG$12,0),"-")</f>
      </c>
      <c r="AH21">
        <f>IF(AH$12&gt;0,ROUNDUP($D21/AH$12,0),"-")</f>
      </c>
      <c r="AI21">
        <f>IF(AI$12&gt;0,ROUNDUP($D21/AI$12,0),"-")</f>
      </c>
      <c r="AJ21">
        <f>IF(AJ$12&gt;0,ROUNDUP($D21/AJ$12,0),"-")</f>
      </c>
      <c r="AK21">
        <f>IF(AK$12&gt;0,ROUNDUP($D21/AK$12,0),"-")</f>
      </c>
      <c r="AL21">
        <f>IF(AL$12&gt;0,ROUNDUP($D21/AL$12,0),"-")</f>
      </c>
      <c r="AM21">
        <f>IF(AM$12&gt;0,ROUNDUP($D21/AM$12,0),"-")</f>
      </c>
      <c r="AN21">
        <f>IF(AN$12&gt;0,ROUNDUP($D21/AN$12,0),"-")</f>
      </c>
      <c r="AO21">
        <f>IF(AO$12&gt;0,ROUNDUP($D21/AO$12,0),"-")</f>
      </c>
      <c r="AP21">
        <f>IF(AP$12&gt;0,ROUNDUP($D21/AP$12,0),"-")</f>
      </c>
      <c r="AQ21">
        <f>IF(AQ$12&gt;0,ROUNDUP($D21/AQ$12,0),"-")</f>
      </c>
      <c r="AR21">
        <f>IF(AR$12&gt;0,ROUNDUP($D21/AR$12,0),"-")</f>
      </c>
      <c r="AS21">
        <f>IF(AS$12&gt;0,ROUNDUP($D21/AS$12,0),"-")</f>
      </c>
      <c r="AT21">
        <f>IF(AT$12&gt;0,ROUNDUP($D21/AT$12,0),"-")</f>
      </c>
      <c r="AU21">
        <f>IF(AU$12&gt;0,ROUNDUP($D21/AU$12,0),"-")</f>
      </c>
      <c r="AV21">
        <f>IF(AV$12&gt;0,ROUNDUP($D21/AV$12,0),"-")</f>
      </c>
      <c r="AW21">
        <f>IF(AW$12&gt;0,ROUNDUP($D21/AW$12,0),"-")</f>
      </c>
      <c r="AX21">
        <f>IF(AX$12&gt;0,ROUNDUP($D21/AX$12,0),"-")</f>
      </c>
      <c r="AY21">
        <f>IF(AY$12&gt;0,ROUNDUP($D21/AY$12,0),"-")</f>
      </c>
      <c r="AZ21">
        <f>IF(AZ$12&gt;0,ROUNDUP($D21/AZ$12,0),"-")</f>
      </c>
      <c r="BA21">
        <f>IF(BA$12&gt;0,ROUNDUP($D21/BA$12,0),"-")</f>
      </c>
    </row>
    <row r="22" spans="1:53" x14ac:dyDescent="0.25">
      <c r="A22" t="s">
        <v>48</v>
      </c>
      <c r="B22">
        <f>INDEX(enemigos!$B$3:$B$500,MATCH($A22,enemigos!$A$3:$A$500,0))</f>
      </c>
      <c r="C22">
        <f>INDEX(enemigos!$C$3:$C$500,MATCH($A22,enemigos!$A$3:$A$500,0))</f>
      </c>
      <c r="D22">
        <f>IF($C22="bicho",INDEX(enemigos!$D$3:$D$500,MATCH($A22,enemigos!$A$3:$A$500,0))*INDEX(ritmo!$B$3:$B$500,MATCH("dureza_vida",ritmo!$A$3:$A$500,0))*(1+$B$4/INDEX(ritmo!$B$3:$B$500,MATCH("vida_escala_seg",ritmo!$A$3:$A$500,0))),INDEX(enemigos!$D$3:$D$500,MATCH($A22,enemigos!$A$3:$A$500,0)))</f>
      </c>
      <c r="E22">
        <f>IF(E$12&gt;0,ROUNDUP($D22/E$12,0),"-")</f>
      </c>
      <c r="F22">
        <f>IF(F$12&gt;0,ROUNDUP($D22/F$12,0),"-")</f>
      </c>
      <c r="G22">
        <f>IF(G$12&gt;0,ROUNDUP($D22/G$12,0),"-")</f>
      </c>
      <c r="H22">
        <f>IF(H$12&gt;0,ROUNDUP($D22/H$12,0),"-")</f>
      </c>
      <c r="I22">
        <f>IF(I$12&gt;0,ROUNDUP($D22/I$12,0),"-")</f>
      </c>
      <c r="J22">
        <f>IF(J$12&gt;0,ROUNDUP($D22/J$12,0),"-")</f>
      </c>
      <c r="K22">
        <f>IF(K$12&gt;0,ROUNDUP($D22/K$12,0),"-")</f>
      </c>
      <c r="L22">
        <f>IF(L$12&gt;0,ROUNDUP($D22/L$12,0),"-")</f>
      </c>
      <c r="M22">
        <f>IF(M$12&gt;0,ROUNDUP($D22/M$12,0),"-")</f>
      </c>
      <c r="N22">
        <f>IF(N$12&gt;0,ROUNDUP($D22/N$12,0),"-")</f>
      </c>
      <c r="O22">
        <f>IF(O$12&gt;0,ROUNDUP($D22/O$12,0),"-")</f>
      </c>
      <c r="P22">
        <f>IF(P$12&gt;0,ROUNDUP($D22/P$12,0),"-")</f>
      </c>
      <c r="Q22">
        <f>IF(Q$12&gt;0,ROUNDUP($D22/Q$12,0),"-")</f>
      </c>
      <c r="R22">
        <f>IF(R$12&gt;0,ROUNDUP($D22/R$12,0),"-")</f>
      </c>
      <c r="S22">
        <f>IF(S$12&gt;0,ROUNDUP($D22/S$12,0),"-")</f>
      </c>
      <c r="T22">
        <f>IF(T$12&gt;0,ROUNDUP($D22/T$12,0),"-")</f>
      </c>
      <c r="U22">
        <f>IF(U$12&gt;0,ROUNDUP($D22/U$12,0),"-")</f>
      </c>
      <c r="V22">
        <f>IF(V$12&gt;0,ROUNDUP($D22/V$12,0),"-")</f>
      </c>
      <c r="W22">
        <f>IF(W$12&gt;0,ROUNDUP($D22/W$12,0),"-")</f>
      </c>
      <c r="X22">
        <f>IF(X$12&gt;0,ROUNDUP($D22/X$12,0),"-")</f>
      </c>
      <c r="Y22">
        <f>IF(Y$12&gt;0,ROUNDUP($D22/Y$12,0),"-")</f>
      </c>
      <c r="Z22">
        <f>IF(Z$12&gt;0,ROUNDUP($D22/Z$12,0),"-")</f>
      </c>
      <c r="AA22">
        <f>IF(AA$12&gt;0,ROUNDUP($D22/AA$12,0),"-")</f>
      </c>
      <c r="AB22">
        <f>IF(AB$12&gt;0,ROUNDUP($D22/AB$12,0),"-")</f>
      </c>
      <c r="AC22">
        <f>IF(AC$12&gt;0,ROUNDUP($D22/AC$12,0),"-")</f>
      </c>
      <c r="AD22">
        <f>IF(AD$12&gt;0,ROUNDUP($D22/AD$12,0),"-")</f>
      </c>
      <c r="AE22">
        <f>IF(AE$12&gt;0,ROUNDUP($D22/AE$12,0),"-")</f>
      </c>
      <c r="AF22">
        <f>IF(AF$12&gt;0,ROUNDUP($D22/AF$12,0),"-")</f>
      </c>
      <c r="AG22">
        <f>IF(AG$12&gt;0,ROUNDUP($D22/AG$12,0),"-")</f>
      </c>
      <c r="AH22">
        <f>IF(AH$12&gt;0,ROUNDUP($D22/AH$12,0),"-")</f>
      </c>
      <c r="AI22">
        <f>IF(AI$12&gt;0,ROUNDUP($D22/AI$12,0),"-")</f>
      </c>
      <c r="AJ22">
        <f>IF(AJ$12&gt;0,ROUNDUP($D22/AJ$12,0),"-")</f>
      </c>
      <c r="AK22">
        <f>IF(AK$12&gt;0,ROUNDUP($D22/AK$12,0),"-")</f>
      </c>
      <c r="AL22">
        <f>IF(AL$12&gt;0,ROUNDUP($D22/AL$12,0),"-")</f>
      </c>
      <c r="AM22">
        <f>IF(AM$12&gt;0,ROUNDUP($D22/AM$12,0),"-")</f>
      </c>
      <c r="AN22">
        <f>IF(AN$12&gt;0,ROUNDUP($D22/AN$12,0),"-")</f>
      </c>
      <c r="AO22">
        <f>IF(AO$12&gt;0,ROUNDUP($D22/AO$12,0),"-")</f>
      </c>
      <c r="AP22">
        <f>IF(AP$12&gt;0,ROUNDUP($D22/AP$12,0),"-")</f>
      </c>
      <c r="AQ22">
        <f>IF(AQ$12&gt;0,ROUNDUP($D22/AQ$12,0),"-")</f>
      </c>
      <c r="AR22">
        <f>IF(AR$12&gt;0,ROUNDUP($D22/AR$12,0),"-")</f>
      </c>
      <c r="AS22">
        <f>IF(AS$12&gt;0,ROUNDUP($D22/AS$12,0),"-")</f>
      </c>
      <c r="AT22">
        <f>IF(AT$12&gt;0,ROUNDUP($D22/AT$12,0),"-")</f>
      </c>
      <c r="AU22">
        <f>IF(AU$12&gt;0,ROUNDUP($D22/AU$12,0),"-")</f>
      </c>
      <c r="AV22">
        <f>IF(AV$12&gt;0,ROUNDUP($D22/AV$12,0),"-")</f>
      </c>
      <c r="AW22">
        <f>IF(AW$12&gt;0,ROUNDUP($D22/AW$12,0),"-")</f>
      </c>
      <c r="AX22">
        <f>IF(AX$12&gt;0,ROUNDUP($D22/AX$12,0),"-")</f>
      </c>
      <c r="AY22">
        <f>IF(AY$12&gt;0,ROUNDUP($D22/AY$12,0),"-")</f>
      </c>
      <c r="AZ22">
        <f>IF(AZ$12&gt;0,ROUNDUP($D22/AZ$12,0),"-")</f>
      </c>
      <c r="BA22">
        <f>IF(BA$12&gt;0,ROUNDUP($D22/BA$12,0),"-")</f>
      </c>
    </row>
    <row r="23" spans="1:53" x14ac:dyDescent="0.25">
      <c r="A23" t="s">
        <v>50</v>
      </c>
      <c r="B23">
        <f>INDEX(enemigos!$B$3:$B$500,MATCH($A23,enemigos!$A$3:$A$500,0))</f>
      </c>
      <c r="C23">
        <f>INDEX(enemigos!$C$3:$C$500,MATCH($A23,enemigos!$A$3:$A$500,0))</f>
      </c>
      <c r="D23">
        <f>IF($C23="bicho",INDEX(enemigos!$D$3:$D$500,MATCH($A23,enemigos!$A$3:$A$500,0))*INDEX(ritmo!$B$3:$B$500,MATCH("dureza_vida",ritmo!$A$3:$A$500,0))*(1+$B$4/INDEX(ritmo!$B$3:$B$500,MATCH("vida_escala_seg",ritmo!$A$3:$A$500,0))),INDEX(enemigos!$D$3:$D$500,MATCH($A23,enemigos!$A$3:$A$500,0)))</f>
      </c>
      <c r="E23">
        <f>IF(E$12&gt;0,ROUNDUP($D23/E$12,0),"-")</f>
      </c>
      <c r="F23">
        <f>IF(F$12&gt;0,ROUNDUP($D23/F$12,0),"-")</f>
      </c>
      <c r="G23">
        <f>IF(G$12&gt;0,ROUNDUP($D23/G$12,0),"-")</f>
      </c>
      <c r="H23">
        <f>IF(H$12&gt;0,ROUNDUP($D23/H$12,0),"-")</f>
      </c>
      <c r="I23">
        <f>IF(I$12&gt;0,ROUNDUP($D23/I$12,0),"-")</f>
      </c>
      <c r="J23">
        <f>IF(J$12&gt;0,ROUNDUP($D23/J$12,0),"-")</f>
      </c>
      <c r="K23">
        <f>IF(K$12&gt;0,ROUNDUP($D23/K$12,0),"-")</f>
      </c>
      <c r="L23">
        <f>IF(L$12&gt;0,ROUNDUP($D23/L$12,0),"-")</f>
      </c>
      <c r="M23">
        <f>IF(M$12&gt;0,ROUNDUP($D23/M$12,0),"-")</f>
      </c>
      <c r="N23">
        <f>IF(N$12&gt;0,ROUNDUP($D23/N$12,0),"-")</f>
      </c>
      <c r="O23">
        <f>IF(O$12&gt;0,ROUNDUP($D23/O$12,0),"-")</f>
      </c>
      <c r="P23">
        <f>IF(P$12&gt;0,ROUNDUP($D23/P$12,0),"-")</f>
      </c>
      <c r="Q23">
        <f>IF(Q$12&gt;0,ROUNDUP($D23/Q$12,0),"-")</f>
      </c>
      <c r="R23">
        <f>IF(R$12&gt;0,ROUNDUP($D23/R$12,0),"-")</f>
      </c>
      <c r="S23">
        <f>IF(S$12&gt;0,ROUNDUP($D23/S$12,0),"-")</f>
      </c>
      <c r="T23">
        <f>IF(T$12&gt;0,ROUNDUP($D23/T$12,0),"-")</f>
      </c>
      <c r="U23">
        <f>IF(U$12&gt;0,ROUNDUP($D23/U$12,0),"-")</f>
      </c>
      <c r="V23">
        <f>IF(V$12&gt;0,ROUNDUP($D23/V$12,0),"-")</f>
      </c>
      <c r="W23">
        <f>IF(W$12&gt;0,ROUNDUP($D23/W$12,0),"-")</f>
      </c>
      <c r="X23">
        <f>IF(X$12&gt;0,ROUNDUP($D23/X$12,0),"-")</f>
      </c>
      <c r="Y23">
        <f>IF(Y$12&gt;0,ROUNDUP($D23/Y$12,0),"-")</f>
      </c>
      <c r="Z23">
        <f>IF(Z$12&gt;0,ROUNDUP($D23/Z$12,0),"-")</f>
      </c>
      <c r="AA23">
        <f>IF(AA$12&gt;0,ROUNDUP($D23/AA$12,0),"-")</f>
      </c>
      <c r="AB23">
        <f>IF(AB$12&gt;0,ROUNDUP($D23/AB$12,0),"-")</f>
      </c>
      <c r="AC23">
        <f>IF(AC$12&gt;0,ROUNDUP($D23/AC$12,0),"-")</f>
      </c>
      <c r="AD23">
        <f>IF(AD$12&gt;0,ROUNDUP($D23/AD$12,0),"-")</f>
      </c>
      <c r="AE23">
        <f>IF(AE$12&gt;0,ROUNDUP($D23/AE$12,0),"-")</f>
      </c>
      <c r="AF23">
        <f>IF(AF$12&gt;0,ROUNDUP($D23/AF$12,0),"-")</f>
      </c>
      <c r="AG23">
        <f>IF(AG$12&gt;0,ROUNDUP($D23/AG$12,0),"-")</f>
      </c>
      <c r="AH23">
        <f>IF(AH$12&gt;0,ROUNDUP($D23/AH$12,0),"-")</f>
      </c>
      <c r="AI23">
        <f>IF(AI$12&gt;0,ROUNDUP($D23/AI$12,0),"-")</f>
      </c>
      <c r="AJ23">
        <f>IF(AJ$12&gt;0,ROUNDUP($D23/AJ$12,0),"-")</f>
      </c>
      <c r="AK23">
        <f>IF(AK$12&gt;0,ROUNDUP($D23/AK$12,0),"-")</f>
      </c>
      <c r="AL23">
        <f>IF(AL$12&gt;0,ROUNDUP($D23/AL$12,0),"-")</f>
      </c>
      <c r="AM23">
        <f>IF(AM$12&gt;0,ROUNDUP($D23/AM$12,0),"-")</f>
      </c>
      <c r="AN23">
        <f>IF(AN$12&gt;0,ROUNDUP($D23/AN$12,0),"-")</f>
      </c>
      <c r="AO23">
        <f>IF(AO$12&gt;0,ROUNDUP($D23/AO$12,0),"-")</f>
      </c>
      <c r="AP23">
        <f>IF(AP$12&gt;0,ROUNDUP($D23/AP$12,0),"-")</f>
      </c>
      <c r="AQ23">
        <f>IF(AQ$12&gt;0,ROUNDUP($D23/AQ$12,0),"-")</f>
      </c>
      <c r="AR23">
        <f>IF(AR$12&gt;0,ROUNDUP($D23/AR$12,0),"-")</f>
      </c>
      <c r="AS23">
        <f>IF(AS$12&gt;0,ROUNDUP($D23/AS$12,0),"-")</f>
      </c>
      <c r="AT23">
        <f>IF(AT$12&gt;0,ROUNDUP($D23/AT$12,0),"-")</f>
      </c>
      <c r="AU23">
        <f>IF(AU$12&gt;0,ROUNDUP($D23/AU$12,0),"-")</f>
      </c>
      <c r="AV23">
        <f>IF(AV$12&gt;0,ROUNDUP($D23/AV$12,0),"-")</f>
      </c>
      <c r="AW23">
        <f>IF(AW$12&gt;0,ROUNDUP($D23/AW$12,0),"-")</f>
      </c>
      <c r="AX23">
        <f>IF(AX$12&gt;0,ROUNDUP($D23/AX$12,0),"-")</f>
      </c>
      <c r="AY23">
        <f>IF(AY$12&gt;0,ROUNDUP($D23/AY$12,0),"-")</f>
      </c>
      <c r="AZ23">
        <f>IF(AZ$12&gt;0,ROUNDUP($D23/AZ$12,0),"-")</f>
      </c>
      <c r="BA23">
        <f>IF(BA$12&gt;0,ROUNDUP($D23/BA$12,0),"-")</f>
      </c>
    </row>
    <row r="24" spans="1:53" x14ac:dyDescent="0.25">
      <c r="A24" t="s">
        <v>52</v>
      </c>
      <c r="B24">
        <f>INDEX(enemigos!$B$3:$B$500,MATCH($A24,enemigos!$A$3:$A$500,0))</f>
      </c>
      <c r="C24">
        <f>INDEX(enemigos!$C$3:$C$500,MATCH($A24,enemigos!$A$3:$A$500,0))</f>
      </c>
      <c r="D24">
        <f>IF($C24="bicho",INDEX(enemigos!$D$3:$D$500,MATCH($A24,enemigos!$A$3:$A$500,0))*INDEX(ritmo!$B$3:$B$500,MATCH("dureza_vida",ritmo!$A$3:$A$500,0))*(1+$B$4/INDEX(ritmo!$B$3:$B$500,MATCH("vida_escala_seg",ritmo!$A$3:$A$500,0))),INDEX(enemigos!$D$3:$D$500,MATCH($A24,enemigos!$A$3:$A$500,0)))</f>
      </c>
      <c r="E24">
        <f>IF(E$12&gt;0,ROUNDUP($D24/E$12,0),"-")</f>
      </c>
      <c r="F24">
        <f>IF(F$12&gt;0,ROUNDUP($D24/F$12,0),"-")</f>
      </c>
      <c r="G24">
        <f>IF(G$12&gt;0,ROUNDUP($D24/G$12,0),"-")</f>
      </c>
      <c r="H24">
        <f>IF(H$12&gt;0,ROUNDUP($D24/H$12,0),"-")</f>
      </c>
      <c r="I24">
        <f>IF(I$12&gt;0,ROUNDUP($D24/I$12,0),"-")</f>
      </c>
      <c r="J24">
        <f>IF(J$12&gt;0,ROUNDUP($D24/J$12,0),"-")</f>
      </c>
      <c r="K24">
        <f>IF(K$12&gt;0,ROUNDUP($D24/K$12,0),"-")</f>
      </c>
      <c r="L24">
        <f>IF(L$12&gt;0,ROUNDUP($D24/L$12,0),"-")</f>
      </c>
      <c r="M24">
        <f>IF(M$12&gt;0,ROUNDUP($D24/M$12,0),"-")</f>
      </c>
      <c r="N24">
        <f>IF(N$12&gt;0,ROUNDUP($D24/N$12,0),"-")</f>
      </c>
      <c r="O24">
        <f>IF(O$12&gt;0,ROUNDUP($D24/O$12,0),"-")</f>
      </c>
      <c r="P24">
        <f>IF(P$12&gt;0,ROUNDUP($D24/P$12,0),"-")</f>
      </c>
      <c r="Q24">
        <f>IF(Q$12&gt;0,ROUNDUP($D24/Q$12,0),"-")</f>
      </c>
      <c r="R24">
        <f>IF(R$12&gt;0,ROUNDUP($D24/R$12,0),"-")</f>
      </c>
      <c r="S24">
        <f>IF(S$12&gt;0,ROUNDUP($D24/S$12,0),"-")</f>
      </c>
      <c r="T24">
        <f>IF(T$12&gt;0,ROUNDUP($D24/T$12,0),"-")</f>
      </c>
      <c r="U24">
        <f>IF(U$12&gt;0,ROUNDUP($D24/U$12,0),"-")</f>
      </c>
      <c r="V24">
        <f>IF(V$12&gt;0,ROUNDUP($D24/V$12,0),"-")</f>
      </c>
      <c r="W24">
        <f>IF(W$12&gt;0,ROUNDUP($D24/W$12,0),"-")</f>
      </c>
      <c r="X24">
        <f>IF(X$12&gt;0,ROUNDUP($D24/X$12,0),"-")</f>
      </c>
      <c r="Y24">
        <f>IF(Y$12&gt;0,ROUNDUP($D24/Y$12,0),"-")</f>
      </c>
      <c r="Z24">
        <f>IF(Z$12&gt;0,ROUNDUP($D24/Z$12,0),"-")</f>
      </c>
      <c r="AA24">
        <f>IF(AA$12&gt;0,ROUNDUP($D24/AA$12,0),"-")</f>
      </c>
      <c r="AB24">
        <f>IF(AB$12&gt;0,ROUNDUP($D24/AB$12,0),"-")</f>
      </c>
      <c r="AC24">
        <f>IF(AC$12&gt;0,ROUNDUP($D24/AC$12,0),"-")</f>
      </c>
      <c r="AD24">
        <f>IF(AD$12&gt;0,ROUNDUP($D24/AD$12,0),"-")</f>
      </c>
      <c r="AE24">
        <f>IF(AE$12&gt;0,ROUNDUP($D24/AE$12,0),"-")</f>
      </c>
      <c r="AF24">
        <f>IF(AF$12&gt;0,ROUNDUP($D24/AF$12,0),"-")</f>
      </c>
      <c r="AG24">
        <f>IF(AG$12&gt;0,ROUNDUP($D24/AG$12,0),"-")</f>
      </c>
      <c r="AH24">
        <f>IF(AH$12&gt;0,ROUNDUP($D24/AH$12,0),"-")</f>
      </c>
      <c r="AI24">
        <f>IF(AI$12&gt;0,ROUNDUP($D24/AI$12,0),"-")</f>
      </c>
      <c r="AJ24">
        <f>IF(AJ$12&gt;0,ROUNDUP($D24/AJ$12,0),"-")</f>
      </c>
      <c r="AK24">
        <f>IF(AK$12&gt;0,ROUNDUP($D24/AK$12,0),"-")</f>
      </c>
      <c r="AL24">
        <f>IF(AL$12&gt;0,ROUNDUP($D24/AL$12,0),"-")</f>
      </c>
      <c r="AM24">
        <f>IF(AM$12&gt;0,ROUNDUP($D24/AM$12,0),"-")</f>
      </c>
      <c r="AN24">
        <f>IF(AN$12&gt;0,ROUNDUP($D24/AN$12,0),"-")</f>
      </c>
      <c r="AO24">
        <f>IF(AO$12&gt;0,ROUNDUP($D24/AO$12,0),"-")</f>
      </c>
      <c r="AP24">
        <f>IF(AP$12&gt;0,ROUNDUP($D24/AP$12,0),"-")</f>
      </c>
      <c r="AQ24">
        <f>IF(AQ$12&gt;0,ROUNDUP($D24/AQ$12,0),"-")</f>
      </c>
      <c r="AR24">
        <f>IF(AR$12&gt;0,ROUNDUP($D24/AR$12,0),"-")</f>
      </c>
      <c r="AS24">
        <f>IF(AS$12&gt;0,ROUNDUP($D24/AS$12,0),"-")</f>
      </c>
      <c r="AT24">
        <f>IF(AT$12&gt;0,ROUNDUP($D24/AT$12,0),"-")</f>
      </c>
      <c r="AU24">
        <f>IF(AU$12&gt;0,ROUNDUP($D24/AU$12,0),"-")</f>
      </c>
      <c r="AV24">
        <f>IF(AV$12&gt;0,ROUNDUP($D24/AV$12,0),"-")</f>
      </c>
      <c r="AW24">
        <f>IF(AW$12&gt;0,ROUNDUP($D24/AW$12,0),"-")</f>
      </c>
      <c r="AX24">
        <f>IF(AX$12&gt;0,ROUNDUP($D24/AX$12,0),"-")</f>
      </c>
      <c r="AY24">
        <f>IF(AY$12&gt;0,ROUNDUP($D24/AY$12,0),"-")</f>
      </c>
      <c r="AZ24">
        <f>IF(AZ$12&gt;0,ROUNDUP($D24/AZ$12,0),"-")</f>
      </c>
      <c r="BA24">
        <f>IF(BA$12&gt;0,ROUNDUP($D24/BA$12,0),"-")</f>
      </c>
    </row>
    <row r="25" spans="1:53" x14ac:dyDescent="0.25">
      <c r="A25" t="s">
        <v>54</v>
      </c>
      <c r="B25">
        <f>INDEX(enemigos!$B$3:$B$500,MATCH($A25,enemigos!$A$3:$A$500,0))</f>
      </c>
      <c r="C25">
        <f>INDEX(enemigos!$C$3:$C$500,MATCH($A25,enemigos!$A$3:$A$500,0))</f>
      </c>
      <c r="D25">
        <f>IF($C25="bicho",INDEX(enemigos!$D$3:$D$500,MATCH($A25,enemigos!$A$3:$A$500,0))*INDEX(ritmo!$B$3:$B$500,MATCH("dureza_vida",ritmo!$A$3:$A$500,0))*(1+$B$4/INDEX(ritmo!$B$3:$B$500,MATCH("vida_escala_seg",ritmo!$A$3:$A$500,0))),INDEX(enemigos!$D$3:$D$500,MATCH($A25,enemigos!$A$3:$A$500,0)))</f>
      </c>
      <c r="E25">
        <f>IF(E$12&gt;0,ROUNDUP($D25/E$12,0),"-")</f>
      </c>
      <c r="F25">
        <f>IF(F$12&gt;0,ROUNDUP($D25/F$12,0),"-")</f>
      </c>
      <c r="G25">
        <f>IF(G$12&gt;0,ROUNDUP($D25/G$12,0),"-")</f>
      </c>
      <c r="H25">
        <f>IF(H$12&gt;0,ROUNDUP($D25/H$12,0),"-")</f>
      </c>
      <c r="I25">
        <f>IF(I$12&gt;0,ROUNDUP($D25/I$12,0),"-")</f>
      </c>
      <c r="J25">
        <f>IF(J$12&gt;0,ROUNDUP($D25/J$12,0),"-")</f>
      </c>
      <c r="K25">
        <f>IF(K$12&gt;0,ROUNDUP($D25/K$12,0),"-")</f>
      </c>
      <c r="L25">
        <f>IF(L$12&gt;0,ROUNDUP($D25/L$12,0),"-")</f>
      </c>
      <c r="M25">
        <f>IF(M$12&gt;0,ROUNDUP($D25/M$12,0),"-")</f>
      </c>
      <c r="N25">
        <f>IF(N$12&gt;0,ROUNDUP($D25/N$12,0),"-")</f>
      </c>
      <c r="O25">
        <f>IF(O$12&gt;0,ROUNDUP($D25/O$12,0),"-")</f>
      </c>
      <c r="P25">
        <f>IF(P$12&gt;0,ROUNDUP($D25/P$12,0),"-")</f>
      </c>
      <c r="Q25">
        <f>IF(Q$12&gt;0,ROUNDUP($D25/Q$12,0),"-")</f>
      </c>
      <c r="R25">
        <f>IF(R$12&gt;0,ROUNDUP($D25/R$12,0),"-")</f>
      </c>
      <c r="S25">
        <f>IF(S$12&gt;0,ROUNDUP($D25/S$12,0),"-")</f>
      </c>
      <c r="T25">
        <f>IF(T$12&gt;0,ROUNDUP($D25/T$12,0),"-")</f>
      </c>
      <c r="U25">
        <f>IF(U$12&gt;0,ROUNDUP($D25/U$12,0),"-")</f>
      </c>
      <c r="V25">
        <f>IF(V$12&gt;0,ROUNDUP($D25/V$12,0),"-")</f>
      </c>
      <c r="W25">
        <f>IF(W$12&gt;0,ROUNDUP($D25/W$12,0),"-")</f>
      </c>
      <c r="X25">
        <f>IF(X$12&gt;0,ROUNDUP($D25/X$12,0),"-")</f>
      </c>
      <c r="Y25">
        <f>IF(Y$12&gt;0,ROUNDUP($D25/Y$12,0),"-")</f>
      </c>
      <c r="Z25">
        <f>IF(Z$12&gt;0,ROUNDUP($D25/Z$12,0),"-")</f>
      </c>
      <c r="AA25">
        <f>IF(AA$12&gt;0,ROUNDUP($D25/AA$12,0),"-")</f>
      </c>
      <c r="AB25">
        <f>IF(AB$12&gt;0,ROUNDUP($D25/AB$12,0),"-")</f>
      </c>
      <c r="AC25">
        <f>IF(AC$12&gt;0,ROUNDUP($D25/AC$12,0),"-")</f>
      </c>
      <c r="AD25">
        <f>IF(AD$12&gt;0,ROUNDUP($D25/AD$12,0),"-")</f>
      </c>
      <c r="AE25">
        <f>IF(AE$12&gt;0,ROUNDUP($D25/AE$12,0),"-")</f>
      </c>
      <c r="AF25">
        <f>IF(AF$12&gt;0,ROUNDUP($D25/AF$12,0),"-")</f>
      </c>
      <c r="AG25">
        <f>IF(AG$12&gt;0,ROUNDUP($D25/AG$12,0),"-")</f>
      </c>
      <c r="AH25">
        <f>IF(AH$12&gt;0,ROUNDUP($D25/AH$12,0),"-")</f>
      </c>
      <c r="AI25">
        <f>IF(AI$12&gt;0,ROUNDUP($D25/AI$12,0),"-")</f>
      </c>
      <c r="AJ25">
        <f>IF(AJ$12&gt;0,ROUNDUP($D25/AJ$12,0),"-")</f>
      </c>
      <c r="AK25">
        <f>IF(AK$12&gt;0,ROUNDUP($D25/AK$12,0),"-")</f>
      </c>
      <c r="AL25">
        <f>IF(AL$12&gt;0,ROUNDUP($D25/AL$12,0),"-")</f>
      </c>
      <c r="AM25">
        <f>IF(AM$12&gt;0,ROUNDUP($D25/AM$12,0),"-")</f>
      </c>
      <c r="AN25">
        <f>IF(AN$12&gt;0,ROUNDUP($D25/AN$12,0),"-")</f>
      </c>
      <c r="AO25">
        <f>IF(AO$12&gt;0,ROUNDUP($D25/AO$12,0),"-")</f>
      </c>
      <c r="AP25">
        <f>IF(AP$12&gt;0,ROUNDUP($D25/AP$12,0),"-")</f>
      </c>
      <c r="AQ25">
        <f>IF(AQ$12&gt;0,ROUNDUP($D25/AQ$12,0),"-")</f>
      </c>
      <c r="AR25">
        <f>IF(AR$12&gt;0,ROUNDUP($D25/AR$12,0),"-")</f>
      </c>
      <c r="AS25">
        <f>IF(AS$12&gt;0,ROUNDUP($D25/AS$12,0),"-")</f>
      </c>
      <c r="AT25">
        <f>IF(AT$12&gt;0,ROUNDUP($D25/AT$12,0),"-")</f>
      </c>
      <c r="AU25">
        <f>IF(AU$12&gt;0,ROUNDUP($D25/AU$12,0),"-")</f>
      </c>
      <c r="AV25">
        <f>IF(AV$12&gt;0,ROUNDUP($D25/AV$12,0),"-")</f>
      </c>
      <c r="AW25">
        <f>IF(AW$12&gt;0,ROUNDUP($D25/AW$12,0),"-")</f>
      </c>
      <c r="AX25">
        <f>IF(AX$12&gt;0,ROUNDUP($D25/AX$12,0),"-")</f>
      </c>
      <c r="AY25">
        <f>IF(AY$12&gt;0,ROUNDUP($D25/AY$12,0),"-")</f>
      </c>
      <c r="AZ25">
        <f>IF(AZ$12&gt;0,ROUNDUP($D25/AZ$12,0),"-")</f>
      </c>
      <c r="BA25">
        <f>IF(BA$12&gt;0,ROUNDUP($D25/BA$12,0),"-")</f>
      </c>
    </row>
    <row r="26" spans="1:53" x14ac:dyDescent="0.25">
      <c r="A26" t="s">
        <v>56</v>
      </c>
      <c r="B26">
        <f>INDEX(enemigos!$B$3:$B$500,MATCH($A26,enemigos!$A$3:$A$500,0))</f>
      </c>
      <c r="C26">
        <f>INDEX(enemigos!$C$3:$C$500,MATCH($A26,enemigos!$A$3:$A$500,0))</f>
      </c>
      <c r="D26">
        <f>IF($C26="bicho",INDEX(enemigos!$D$3:$D$500,MATCH($A26,enemigos!$A$3:$A$500,0))*INDEX(ritmo!$B$3:$B$500,MATCH("dureza_vida",ritmo!$A$3:$A$500,0))*(1+$B$4/INDEX(ritmo!$B$3:$B$500,MATCH("vida_escala_seg",ritmo!$A$3:$A$500,0))),INDEX(enemigos!$D$3:$D$500,MATCH($A26,enemigos!$A$3:$A$500,0)))</f>
      </c>
      <c r="E26">
        <f>IF(E$12&gt;0,ROUNDUP($D26/E$12,0),"-")</f>
      </c>
      <c r="F26">
        <f>IF(F$12&gt;0,ROUNDUP($D26/F$12,0),"-")</f>
      </c>
      <c r="G26">
        <f>IF(G$12&gt;0,ROUNDUP($D26/G$12,0),"-")</f>
      </c>
      <c r="H26">
        <f>IF(H$12&gt;0,ROUNDUP($D26/H$12,0),"-")</f>
      </c>
      <c r="I26">
        <f>IF(I$12&gt;0,ROUNDUP($D26/I$12,0),"-")</f>
      </c>
      <c r="J26">
        <f>IF(J$12&gt;0,ROUNDUP($D26/J$12,0),"-")</f>
      </c>
      <c r="K26">
        <f>IF(K$12&gt;0,ROUNDUP($D26/K$12,0),"-")</f>
      </c>
      <c r="L26">
        <f>IF(L$12&gt;0,ROUNDUP($D26/L$12,0),"-")</f>
      </c>
      <c r="M26">
        <f>IF(M$12&gt;0,ROUNDUP($D26/M$12,0),"-")</f>
      </c>
      <c r="N26">
        <f>IF(N$12&gt;0,ROUNDUP($D26/N$12,0),"-")</f>
      </c>
      <c r="O26">
        <f>IF(O$12&gt;0,ROUNDUP($D26/O$12,0),"-")</f>
      </c>
      <c r="P26">
        <f>IF(P$12&gt;0,ROUNDUP($D26/P$12,0),"-")</f>
      </c>
      <c r="Q26">
        <f>IF(Q$12&gt;0,ROUNDUP($D26/Q$12,0),"-")</f>
      </c>
      <c r="R26">
        <f>IF(R$12&gt;0,ROUNDUP($D26/R$12,0),"-")</f>
      </c>
      <c r="S26">
        <f>IF(S$12&gt;0,ROUNDUP($D26/S$12,0),"-")</f>
      </c>
      <c r="T26">
        <f>IF(T$12&gt;0,ROUNDUP($D26/T$12,0),"-")</f>
      </c>
      <c r="U26">
        <f>IF(U$12&gt;0,ROUNDUP($D26/U$12,0),"-")</f>
      </c>
      <c r="V26">
        <f>IF(V$12&gt;0,ROUNDUP($D26/V$12,0),"-")</f>
      </c>
      <c r="W26">
        <f>IF(W$12&gt;0,ROUNDUP($D26/W$12,0),"-")</f>
      </c>
      <c r="X26">
        <f>IF(X$12&gt;0,ROUNDUP($D26/X$12,0),"-")</f>
      </c>
      <c r="Y26">
        <f>IF(Y$12&gt;0,ROUNDUP($D26/Y$12,0),"-")</f>
      </c>
      <c r="Z26">
        <f>IF(Z$12&gt;0,ROUNDUP($D26/Z$12,0),"-")</f>
      </c>
      <c r="AA26">
        <f>IF(AA$12&gt;0,ROUNDUP($D26/AA$12,0),"-")</f>
      </c>
      <c r="AB26">
        <f>IF(AB$12&gt;0,ROUNDUP($D26/AB$12,0),"-")</f>
      </c>
      <c r="AC26">
        <f>IF(AC$12&gt;0,ROUNDUP($D26/AC$12,0),"-")</f>
      </c>
      <c r="AD26">
        <f>IF(AD$12&gt;0,ROUNDUP($D26/AD$12,0),"-")</f>
      </c>
      <c r="AE26">
        <f>IF(AE$12&gt;0,ROUNDUP($D26/AE$12,0),"-")</f>
      </c>
      <c r="AF26">
        <f>IF(AF$12&gt;0,ROUNDUP($D26/AF$12,0),"-")</f>
      </c>
      <c r="AG26">
        <f>IF(AG$12&gt;0,ROUNDUP($D26/AG$12,0),"-")</f>
      </c>
      <c r="AH26">
        <f>IF(AH$12&gt;0,ROUNDUP($D26/AH$12,0),"-")</f>
      </c>
      <c r="AI26">
        <f>IF(AI$12&gt;0,ROUNDUP($D26/AI$12,0),"-")</f>
      </c>
      <c r="AJ26">
        <f>IF(AJ$12&gt;0,ROUNDUP($D26/AJ$12,0),"-")</f>
      </c>
      <c r="AK26">
        <f>IF(AK$12&gt;0,ROUNDUP($D26/AK$12,0),"-")</f>
      </c>
      <c r="AL26">
        <f>IF(AL$12&gt;0,ROUNDUP($D26/AL$12,0),"-")</f>
      </c>
      <c r="AM26">
        <f>IF(AM$12&gt;0,ROUNDUP($D26/AM$12,0),"-")</f>
      </c>
      <c r="AN26">
        <f>IF(AN$12&gt;0,ROUNDUP($D26/AN$12,0),"-")</f>
      </c>
      <c r="AO26">
        <f>IF(AO$12&gt;0,ROUNDUP($D26/AO$12,0),"-")</f>
      </c>
      <c r="AP26">
        <f>IF(AP$12&gt;0,ROUNDUP($D26/AP$12,0),"-")</f>
      </c>
      <c r="AQ26">
        <f>IF(AQ$12&gt;0,ROUNDUP($D26/AQ$12,0),"-")</f>
      </c>
      <c r="AR26">
        <f>IF(AR$12&gt;0,ROUNDUP($D26/AR$12,0),"-")</f>
      </c>
      <c r="AS26">
        <f>IF(AS$12&gt;0,ROUNDUP($D26/AS$12,0),"-")</f>
      </c>
      <c r="AT26">
        <f>IF(AT$12&gt;0,ROUNDUP($D26/AT$12,0),"-")</f>
      </c>
      <c r="AU26">
        <f>IF(AU$12&gt;0,ROUNDUP($D26/AU$12,0),"-")</f>
      </c>
      <c r="AV26">
        <f>IF(AV$12&gt;0,ROUNDUP($D26/AV$12,0),"-")</f>
      </c>
      <c r="AW26">
        <f>IF(AW$12&gt;0,ROUNDUP($D26/AW$12,0),"-")</f>
      </c>
      <c r="AX26">
        <f>IF(AX$12&gt;0,ROUNDUP($D26/AX$12,0),"-")</f>
      </c>
      <c r="AY26">
        <f>IF(AY$12&gt;0,ROUNDUP($D26/AY$12,0),"-")</f>
      </c>
      <c r="AZ26">
        <f>IF(AZ$12&gt;0,ROUNDUP($D26/AZ$12,0),"-")</f>
      </c>
      <c r="BA26">
        <f>IF(BA$12&gt;0,ROUNDUP($D26/BA$12,0),"-")</f>
      </c>
    </row>
    <row r="27" spans="1:53" x14ac:dyDescent="0.25">
      <c r="A27" t="s">
        <v>58</v>
      </c>
      <c r="B27">
        <f>INDEX(enemigos!$B$3:$B$500,MATCH($A27,enemigos!$A$3:$A$500,0))</f>
      </c>
      <c r="C27">
        <f>INDEX(enemigos!$C$3:$C$500,MATCH($A27,enemigos!$A$3:$A$500,0))</f>
      </c>
      <c r="D27">
        <f>IF($C27="bicho",INDEX(enemigos!$D$3:$D$500,MATCH($A27,enemigos!$A$3:$A$500,0))*INDEX(ritmo!$B$3:$B$500,MATCH("dureza_vida",ritmo!$A$3:$A$500,0))*(1+$B$4/INDEX(ritmo!$B$3:$B$500,MATCH("vida_escala_seg",ritmo!$A$3:$A$500,0))),INDEX(enemigos!$D$3:$D$500,MATCH($A27,enemigos!$A$3:$A$500,0)))</f>
      </c>
      <c r="E27">
        <f>IF(E$12&gt;0,ROUNDUP($D27/E$12,0),"-")</f>
      </c>
      <c r="F27">
        <f>IF(F$12&gt;0,ROUNDUP($D27/F$12,0),"-")</f>
      </c>
      <c r="G27">
        <f>IF(G$12&gt;0,ROUNDUP($D27/G$12,0),"-")</f>
      </c>
      <c r="H27">
        <f>IF(H$12&gt;0,ROUNDUP($D27/H$12,0),"-")</f>
      </c>
      <c r="I27">
        <f>IF(I$12&gt;0,ROUNDUP($D27/I$12,0),"-")</f>
      </c>
      <c r="J27">
        <f>IF(J$12&gt;0,ROUNDUP($D27/J$12,0),"-")</f>
      </c>
      <c r="K27">
        <f>IF(K$12&gt;0,ROUNDUP($D27/K$12,0),"-")</f>
      </c>
      <c r="L27">
        <f>IF(L$12&gt;0,ROUNDUP($D27/L$12,0),"-")</f>
      </c>
      <c r="M27">
        <f>IF(M$12&gt;0,ROUNDUP($D27/M$12,0),"-")</f>
      </c>
      <c r="N27">
        <f>IF(N$12&gt;0,ROUNDUP($D27/N$12,0),"-")</f>
      </c>
      <c r="O27">
        <f>IF(O$12&gt;0,ROUNDUP($D27/O$12,0),"-")</f>
      </c>
      <c r="P27">
        <f>IF(P$12&gt;0,ROUNDUP($D27/P$12,0),"-")</f>
      </c>
      <c r="Q27">
        <f>IF(Q$12&gt;0,ROUNDUP($D27/Q$12,0),"-")</f>
      </c>
      <c r="R27">
        <f>IF(R$12&gt;0,ROUNDUP($D27/R$12,0),"-")</f>
      </c>
      <c r="S27">
        <f>IF(S$12&gt;0,ROUNDUP($D27/S$12,0),"-")</f>
      </c>
      <c r="T27">
        <f>IF(T$12&gt;0,ROUNDUP($D27/T$12,0),"-")</f>
      </c>
      <c r="U27">
        <f>IF(U$12&gt;0,ROUNDUP($D27/U$12,0),"-")</f>
      </c>
      <c r="V27">
        <f>IF(V$12&gt;0,ROUNDUP($D27/V$12,0),"-")</f>
      </c>
      <c r="W27">
        <f>IF(W$12&gt;0,ROUNDUP($D27/W$12,0),"-")</f>
      </c>
      <c r="X27">
        <f>IF(X$12&gt;0,ROUNDUP($D27/X$12,0),"-")</f>
      </c>
      <c r="Y27">
        <f>IF(Y$12&gt;0,ROUNDUP($D27/Y$12,0),"-")</f>
      </c>
      <c r="Z27">
        <f>IF(Z$12&gt;0,ROUNDUP($D27/Z$12,0),"-")</f>
      </c>
      <c r="AA27">
        <f>IF(AA$12&gt;0,ROUNDUP($D27/AA$12,0),"-")</f>
      </c>
      <c r="AB27">
        <f>IF(AB$12&gt;0,ROUNDUP($D27/AB$12,0),"-")</f>
      </c>
      <c r="AC27">
        <f>IF(AC$12&gt;0,ROUNDUP($D27/AC$12,0),"-")</f>
      </c>
      <c r="AD27">
        <f>IF(AD$12&gt;0,ROUNDUP($D27/AD$12,0),"-")</f>
      </c>
      <c r="AE27">
        <f>IF(AE$12&gt;0,ROUNDUP($D27/AE$12,0),"-")</f>
      </c>
      <c r="AF27">
        <f>IF(AF$12&gt;0,ROUNDUP($D27/AF$12,0),"-")</f>
      </c>
      <c r="AG27">
        <f>IF(AG$12&gt;0,ROUNDUP($D27/AG$12,0),"-")</f>
      </c>
      <c r="AH27">
        <f>IF(AH$12&gt;0,ROUNDUP($D27/AH$12,0),"-")</f>
      </c>
      <c r="AI27">
        <f>IF(AI$12&gt;0,ROUNDUP($D27/AI$12,0),"-")</f>
      </c>
      <c r="AJ27">
        <f>IF(AJ$12&gt;0,ROUNDUP($D27/AJ$12,0),"-")</f>
      </c>
      <c r="AK27">
        <f>IF(AK$12&gt;0,ROUNDUP($D27/AK$12,0),"-")</f>
      </c>
      <c r="AL27">
        <f>IF(AL$12&gt;0,ROUNDUP($D27/AL$12,0),"-")</f>
      </c>
      <c r="AM27">
        <f>IF(AM$12&gt;0,ROUNDUP($D27/AM$12,0),"-")</f>
      </c>
      <c r="AN27">
        <f>IF(AN$12&gt;0,ROUNDUP($D27/AN$12,0),"-")</f>
      </c>
      <c r="AO27">
        <f>IF(AO$12&gt;0,ROUNDUP($D27/AO$12,0),"-")</f>
      </c>
      <c r="AP27">
        <f>IF(AP$12&gt;0,ROUNDUP($D27/AP$12,0),"-")</f>
      </c>
      <c r="AQ27">
        <f>IF(AQ$12&gt;0,ROUNDUP($D27/AQ$12,0),"-")</f>
      </c>
      <c r="AR27">
        <f>IF(AR$12&gt;0,ROUNDUP($D27/AR$12,0),"-")</f>
      </c>
      <c r="AS27">
        <f>IF(AS$12&gt;0,ROUNDUP($D27/AS$12,0),"-")</f>
      </c>
      <c r="AT27">
        <f>IF(AT$12&gt;0,ROUNDUP($D27/AT$12,0),"-")</f>
      </c>
      <c r="AU27">
        <f>IF(AU$12&gt;0,ROUNDUP($D27/AU$12,0),"-")</f>
      </c>
      <c r="AV27">
        <f>IF(AV$12&gt;0,ROUNDUP($D27/AV$12,0),"-")</f>
      </c>
      <c r="AW27">
        <f>IF(AW$12&gt;0,ROUNDUP($D27/AW$12,0),"-")</f>
      </c>
      <c r="AX27">
        <f>IF(AX$12&gt;0,ROUNDUP($D27/AX$12,0),"-")</f>
      </c>
      <c r="AY27">
        <f>IF(AY$12&gt;0,ROUNDUP($D27/AY$12,0),"-")</f>
      </c>
      <c r="AZ27">
        <f>IF(AZ$12&gt;0,ROUNDUP($D27/AZ$12,0),"-")</f>
      </c>
      <c r="BA27">
        <f>IF(BA$12&gt;0,ROUNDUP($D27/BA$12,0),"-")</f>
      </c>
    </row>
    <row r="28" spans="1:53" x14ac:dyDescent="0.25">
      <c r="A28" t="s">
        <v>60</v>
      </c>
      <c r="B28">
        <f>INDEX(enemigos!$B$3:$B$500,MATCH($A28,enemigos!$A$3:$A$500,0))</f>
      </c>
      <c r="C28">
        <f>INDEX(enemigos!$C$3:$C$500,MATCH($A28,enemigos!$A$3:$A$500,0))</f>
      </c>
      <c r="D28">
        <f>IF($C28="bicho",INDEX(enemigos!$D$3:$D$500,MATCH($A28,enemigos!$A$3:$A$500,0))*INDEX(ritmo!$B$3:$B$500,MATCH("dureza_vida",ritmo!$A$3:$A$500,0))*(1+$B$4/INDEX(ritmo!$B$3:$B$500,MATCH("vida_escala_seg",ritmo!$A$3:$A$500,0))),INDEX(enemigos!$D$3:$D$500,MATCH($A28,enemigos!$A$3:$A$500,0)))</f>
      </c>
      <c r="E28">
        <f>IF(E$12&gt;0,ROUNDUP($D28/E$12,0),"-")</f>
      </c>
      <c r="F28">
        <f>IF(F$12&gt;0,ROUNDUP($D28/F$12,0),"-")</f>
      </c>
      <c r="G28">
        <f>IF(G$12&gt;0,ROUNDUP($D28/G$12,0),"-")</f>
      </c>
      <c r="H28">
        <f>IF(H$12&gt;0,ROUNDUP($D28/H$12,0),"-")</f>
      </c>
      <c r="I28">
        <f>IF(I$12&gt;0,ROUNDUP($D28/I$12,0),"-")</f>
      </c>
      <c r="J28">
        <f>IF(J$12&gt;0,ROUNDUP($D28/J$12,0),"-")</f>
      </c>
      <c r="K28">
        <f>IF(K$12&gt;0,ROUNDUP($D28/K$12,0),"-")</f>
      </c>
      <c r="L28">
        <f>IF(L$12&gt;0,ROUNDUP($D28/L$12,0),"-")</f>
      </c>
      <c r="M28">
        <f>IF(M$12&gt;0,ROUNDUP($D28/M$12,0),"-")</f>
      </c>
      <c r="N28">
        <f>IF(N$12&gt;0,ROUNDUP($D28/N$12,0),"-")</f>
      </c>
      <c r="O28">
        <f>IF(O$12&gt;0,ROUNDUP($D28/O$12,0),"-")</f>
      </c>
      <c r="P28">
        <f>IF(P$12&gt;0,ROUNDUP($D28/P$12,0),"-")</f>
      </c>
      <c r="Q28">
        <f>IF(Q$12&gt;0,ROUNDUP($D28/Q$12,0),"-")</f>
      </c>
      <c r="R28">
        <f>IF(R$12&gt;0,ROUNDUP($D28/R$12,0),"-")</f>
      </c>
      <c r="S28">
        <f>IF(S$12&gt;0,ROUNDUP($D28/S$12,0),"-")</f>
      </c>
      <c r="T28">
        <f>IF(T$12&gt;0,ROUNDUP($D28/T$12,0),"-")</f>
      </c>
      <c r="U28">
        <f>IF(U$12&gt;0,ROUNDUP($D28/U$12,0),"-")</f>
      </c>
      <c r="V28">
        <f>IF(V$12&gt;0,ROUNDUP($D28/V$12,0),"-")</f>
      </c>
      <c r="W28">
        <f>IF(W$12&gt;0,ROUNDUP($D28/W$12,0),"-")</f>
      </c>
      <c r="X28">
        <f>IF(X$12&gt;0,ROUNDUP($D28/X$12,0),"-")</f>
      </c>
      <c r="Y28">
        <f>IF(Y$12&gt;0,ROUNDUP($D28/Y$12,0),"-")</f>
      </c>
      <c r="Z28">
        <f>IF(Z$12&gt;0,ROUNDUP($D28/Z$12,0),"-")</f>
      </c>
      <c r="AA28">
        <f>IF(AA$12&gt;0,ROUNDUP($D28/AA$12,0),"-")</f>
      </c>
      <c r="AB28">
        <f>IF(AB$12&gt;0,ROUNDUP($D28/AB$12,0),"-")</f>
      </c>
      <c r="AC28">
        <f>IF(AC$12&gt;0,ROUNDUP($D28/AC$12,0),"-")</f>
      </c>
      <c r="AD28">
        <f>IF(AD$12&gt;0,ROUNDUP($D28/AD$12,0),"-")</f>
      </c>
      <c r="AE28">
        <f>IF(AE$12&gt;0,ROUNDUP($D28/AE$12,0),"-")</f>
      </c>
      <c r="AF28">
        <f>IF(AF$12&gt;0,ROUNDUP($D28/AF$12,0),"-")</f>
      </c>
      <c r="AG28">
        <f>IF(AG$12&gt;0,ROUNDUP($D28/AG$12,0),"-")</f>
      </c>
      <c r="AH28">
        <f>IF(AH$12&gt;0,ROUNDUP($D28/AH$12,0),"-")</f>
      </c>
      <c r="AI28">
        <f>IF(AI$12&gt;0,ROUNDUP($D28/AI$12,0),"-")</f>
      </c>
      <c r="AJ28">
        <f>IF(AJ$12&gt;0,ROUNDUP($D28/AJ$12,0),"-")</f>
      </c>
      <c r="AK28">
        <f>IF(AK$12&gt;0,ROUNDUP($D28/AK$12,0),"-")</f>
      </c>
      <c r="AL28">
        <f>IF(AL$12&gt;0,ROUNDUP($D28/AL$12,0),"-")</f>
      </c>
      <c r="AM28">
        <f>IF(AM$12&gt;0,ROUNDUP($D28/AM$12,0),"-")</f>
      </c>
      <c r="AN28">
        <f>IF(AN$12&gt;0,ROUNDUP($D28/AN$12,0),"-")</f>
      </c>
      <c r="AO28">
        <f>IF(AO$12&gt;0,ROUNDUP($D28/AO$12,0),"-")</f>
      </c>
      <c r="AP28">
        <f>IF(AP$12&gt;0,ROUNDUP($D28/AP$12,0),"-")</f>
      </c>
      <c r="AQ28">
        <f>IF(AQ$12&gt;0,ROUNDUP($D28/AQ$12,0),"-")</f>
      </c>
      <c r="AR28">
        <f>IF(AR$12&gt;0,ROUNDUP($D28/AR$12,0),"-")</f>
      </c>
      <c r="AS28">
        <f>IF(AS$12&gt;0,ROUNDUP($D28/AS$12,0),"-")</f>
      </c>
      <c r="AT28">
        <f>IF(AT$12&gt;0,ROUNDUP($D28/AT$12,0),"-")</f>
      </c>
      <c r="AU28">
        <f>IF(AU$12&gt;0,ROUNDUP($D28/AU$12,0),"-")</f>
      </c>
      <c r="AV28">
        <f>IF(AV$12&gt;0,ROUNDUP($D28/AV$12,0),"-")</f>
      </c>
      <c r="AW28">
        <f>IF(AW$12&gt;0,ROUNDUP($D28/AW$12,0),"-")</f>
      </c>
      <c r="AX28">
        <f>IF(AX$12&gt;0,ROUNDUP($D28/AX$12,0),"-")</f>
      </c>
      <c r="AY28">
        <f>IF(AY$12&gt;0,ROUNDUP($D28/AY$12,0),"-")</f>
      </c>
      <c r="AZ28">
        <f>IF(AZ$12&gt;0,ROUNDUP($D28/AZ$12,0),"-")</f>
      </c>
      <c r="BA28">
        <f>IF(BA$12&gt;0,ROUNDUP($D28/BA$12,0),"-")</f>
      </c>
    </row>
    <row r="29" spans="1:53" x14ac:dyDescent="0.25">
      <c r="A29" t="s">
        <v>62</v>
      </c>
      <c r="B29">
        <f>INDEX(enemigos!$B$3:$B$500,MATCH($A29,enemigos!$A$3:$A$500,0))</f>
      </c>
      <c r="C29">
        <f>INDEX(enemigos!$C$3:$C$500,MATCH($A29,enemigos!$A$3:$A$500,0))</f>
      </c>
      <c r="D29">
        <f>IF($C29="bicho",INDEX(enemigos!$D$3:$D$500,MATCH($A29,enemigos!$A$3:$A$500,0))*INDEX(ritmo!$B$3:$B$500,MATCH("dureza_vida",ritmo!$A$3:$A$500,0))*(1+$B$4/INDEX(ritmo!$B$3:$B$500,MATCH("vida_escala_seg",ritmo!$A$3:$A$500,0))),INDEX(enemigos!$D$3:$D$500,MATCH($A29,enemigos!$A$3:$A$500,0)))</f>
      </c>
      <c r="E29">
        <f>IF(E$12&gt;0,ROUNDUP($D29/E$12,0),"-")</f>
      </c>
      <c r="F29">
        <f>IF(F$12&gt;0,ROUNDUP($D29/F$12,0),"-")</f>
      </c>
      <c r="G29">
        <f>IF(G$12&gt;0,ROUNDUP($D29/G$12,0),"-")</f>
      </c>
      <c r="H29">
        <f>IF(H$12&gt;0,ROUNDUP($D29/H$12,0),"-")</f>
      </c>
      <c r="I29">
        <f>IF(I$12&gt;0,ROUNDUP($D29/I$12,0),"-")</f>
      </c>
      <c r="J29">
        <f>IF(J$12&gt;0,ROUNDUP($D29/J$12,0),"-")</f>
      </c>
      <c r="K29">
        <f>IF(K$12&gt;0,ROUNDUP($D29/K$12,0),"-")</f>
      </c>
      <c r="L29">
        <f>IF(L$12&gt;0,ROUNDUP($D29/L$12,0),"-")</f>
      </c>
      <c r="M29">
        <f>IF(M$12&gt;0,ROUNDUP($D29/M$12,0),"-")</f>
      </c>
      <c r="N29">
        <f>IF(N$12&gt;0,ROUNDUP($D29/N$12,0),"-")</f>
      </c>
      <c r="O29">
        <f>IF(O$12&gt;0,ROUNDUP($D29/O$12,0),"-")</f>
      </c>
      <c r="P29">
        <f>IF(P$12&gt;0,ROUNDUP($D29/P$12,0),"-")</f>
      </c>
      <c r="Q29">
        <f>IF(Q$12&gt;0,ROUNDUP($D29/Q$12,0),"-")</f>
      </c>
      <c r="R29">
        <f>IF(R$12&gt;0,ROUNDUP($D29/R$12,0),"-")</f>
      </c>
      <c r="S29">
        <f>IF(S$12&gt;0,ROUNDUP($D29/S$12,0),"-")</f>
      </c>
      <c r="T29">
        <f>IF(T$12&gt;0,ROUNDUP($D29/T$12,0),"-")</f>
      </c>
      <c r="U29">
        <f>IF(U$12&gt;0,ROUNDUP($D29/U$12,0),"-")</f>
      </c>
      <c r="V29">
        <f>IF(V$12&gt;0,ROUNDUP($D29/V$12,0),"-")</f>
      </c>
      <c r="W29">
        <f>IF(W$12&gt;0,ROUNDUP($D29/W$12,0),"-")</f>
      </c>
      <c r="X29">
        <f>IF(X$12&gt;0,ROUNDUP($D29/X$12,0),"-")</f>
      </c>
      <c r="Y29">
        <f>IF(Y$12&gt;0,ROUNDUP($D29/Y$12,0),"-")</f>
      </c>
      <c r="Z29">
        <f>IF(Z$12&gt;0,ROUNDUP($D29/Z$12,0),"-")</f>
      </c>
      <c r="AA29">
        <f>IF(AA$12&gt;0,ROUNDUP($D29/AA$12,0),"-")</f>
      </c>
      <c r="AB29">
        <f>IF(AB$12&gt;0,ROUNDUP($D29/AB$12,0),"-")</f>
      </c>
      <c r="AC29">
        <f>IF(AC$12&gt;0,ROUNDUP($D29/AC$12,0),"-")</f>
      </c>
      <c r="AD29">
        <f>IF(AD$12&gt;0,ROUNDUP($D29/AD$12,0),"-")</f>
      </c>
      <c r="AE29">
        <f>IF(AE$12&gt;0,ROUNDUP($D29/AE$12,0),"-")</f>
      </c>
      <c r="AF29">
        <f>IF(AF$12&gt;0,ROUNDUP($D29/AF$12,0),"-")</f>
      </c>
      <c r="AG29">
        <f>IF(AG$12&gt;0,ROUNDUP($D29/AG$12,0),"-")</f>
      </c>
      <c r="AH29">
        <f>IF(AH$12&gt;0,ROUNDUP($D29/AH$12,0),"-")</f>
      </c>
      <c r="AI29">
        <f>IF(AI$12&gt;0,ROUNDUP($D29/AI$12,0),"-")</f>
      </c>
      <c r="AJ29">
        <f>IF(AJ$12&gt;0,ROUNDUP($D29/AJ$12,0),"-")</f>
      </c>
      <c r="AK29">
        <f>IF(AK$12&gt;0,ROUNDUP($D29/AK$12,0),"-")</f>
      </c>
      <c r="AL29">
        <f>IF(AL$12&gt;0,ROUNDUP($D29/AL$12,0),"-")</f>
      </c>
      <c r="AM29">
        <f>IF(AM$12&gt;0,ROUNDUP($D29/AM$12,0),"-")</f>
      </c>
      <c r="AN29">
        <f>IF(AN$12&gt;0,ROUNDUP($D29/AN$12,0),"-")</f>
      </c>
      <c r="AO29">
        <f>IF(AO$12&gt;0,ROUNDUP($D29/AO$12,0),"-")</f>
      </c>
      <c r="AP29">
        <f>IF(AP$12&gt;0,ROUNDUP($D29/AP$12,0),"-")</f>
      </c>
      <c r="AQ29">
        <f>IF(AQ$12&gt;0,ROUNDUP($D29/AQ$12,0),"-")</f>
      </c>
      <c r="AR29">
        <f>IF(AR$12&gt;0,ROUNDUP($D29/AR$12,0),"-")</f>
      </c>
      <c r="AS29">
        <f>IF(AS$12&gt;0,ROUNDUP($D29/AS$12,0),"-")</f>
      </c>
      <c r="AT29">
        <f>IF(AT$12&gt;0,ROUNDUP($D29/AT$12,0),"-")</f>
      </c>
      <c r="AU29">
        <f>IF(AU$12&gt;0,ROUNDUP($D29/AU$12,0),"-")</f>
      </c>
      <c r="AV29">
        <f>IF(AV$12&gt;0,ROUNDUP($D29/AV$12,0),"-")</f>
      </c>
      <c r="AW29">
        <f>IF(AW$12&gt;0,ROUNDUP($D29/AW$12,0),"-")</f>
      </c>
      <c r="AX29">
        <f>IF(AX$12&gt;0,ROUNDUP($D29/AX$12,0),"-")</f>
      </c>
      <c r="AY29">
        <f>IF(AY$12&gt;0,ROUNDUP($D29/AY$12,0),"-")</f>
      </c>
      <c r="AZ29">
        <f>IF(AZ$12&gt;0,ROUNDUP($D29/AZ$12,0),"-")</f>
      </c>
      <c r="BA29">
        <f>IF(BA$12&gt;0,ROUNDUP($D29/BA$12,0),"-")</f>
      </c>
    </row>
    <row r="30" spans="1:53" x14ac:dyDescent="0.25">
      <c r="A30" t="s">
        <v>65</v>
      </c>
      <c r="B30">
        <f>INDEX(enemigos!$B$3:$B$500,MATCH($A30,enemigos!$A$3:$A$500,0))</f>
      </c>
      <c r="C30">
        <f>INDEX(enemigos!$C$3:$C$500,MATCH($A30,enemigos!$A$3:$A$500,0))</f>
      </c>
      <c r="D30">
        <f>IF($C30="bicho",INDEX(enemigos!$D$3:$D$500,MATCH($A30,enemigos!$A$3:$A$500,0))*INDEX(ritmo!$B$3:$B$500,MATCH("dureza_vida",ritmo!$A$3:$A$500,0))*(1+$B$4/INDEX(ritmo!$B$3:$B$500,MATCH("vida_escala_seg",ritmo!$A$3:$A$500,0))),INDEX(enemigos!$D$3:$D$500,MATCH($A30,enemigos!$A$3:$A$500,0)))</f>
      </c>
      <c r="E30">
        <f>IF(E$12&gt;0,ROUNDUP($D30/E$12,0),"-")</f>
      </c>
      <c r="F30">
        <f>IF(F$12&gt;0,ROUNDUP($D30/F$12,0),"-")</f>
      </c>
      <c r="G30">
        <f>IF(G$12&gt;0,ROUNDUP($D30/G$12,0),"-")</f>
      </c>
      <c r="H30">
        <f>IF(H$12&gt;0,ROUNDUP($D30/H$12,0),"-")</f>
      </c>
      <c r="I30">
        <f>IF(I$12&gt;0,ROUNDUP($D30/I$12,0),"-")</f>
      </c>
      <c r="J30">
        <f>IF(J$12&gt;0,ROUNDUP($D30/J$12,0),"-")</f>
      </c>
      <c r="K30">
        <f>IF(K$12&gt;0,ROUNDUP($D30/K$12,0),"-")</f>
      </c>
      <c r="L30">
        <f>IF(L$12&gt;0,ROUNDUP($D30/L$12,0),"-")</f>
      </c>
      <c r="M30">
        <f>IF(M$12&gt;0,ROUNDUP($D30/M$12,0),"-")</f>
      </c>
      <c r="N30">
        <f>IF(N$12&gt;0,ROUNDUP($D30/N$12,0),"-")</f>
      </c>
      <c r="O30">
        <f>IF(O$12&gt;0,ROUNDUP($D30/O$12,0),"-")</f>
      </c>
      <c r="P30">
        <f>IF(P$12&gt;0,ROUNDUP($D30/P$12,0),"-")</f>
      </c>
      <c r="Q30">
        <f>IF(Q$12&gt;0,ROUNDUP($D30/Q$12,0),"-")</f>
      </c>
      <c r="R30">
        <f>IF(R$12&gt;0,ROUNDUP($D30/R$12,0),"-")</f>
      </c>
      <c r="S30">
        <f>IF(S$12&gt;0,ROUNDUP($D30/S$12,0),"-")</f>
      </c>
      <c r="T30">
        <f>IF(T$12&gt;0,ROUNDUP($D30/T$12,0),"-")</f>
      </c>
      <c r="U30">
        <f>IF(U$12&gt;0,ROUNDUP($D30/U$12,0),"-")</f>
      </c>
      <c r="V30">
        <f>IF(V$12&gt;0,ROUNDUP($D30/V$12,0),"-")</f>
      </c>
      <c r="W30">
        <f>IF(W$12&gt;0,ROUNDUP($D30/W$12,0),"-")</f>
      </c>
      <c r="X30">
        <f>IF(X$12&gt;0,ROUNDUP($D30/X$12,0),"-")</f>
      </c>
      <c r="Y30">
        <f>IF(Y$12&gt;0,ROUNDUP($D30/Y$12,0),"-")</f>
      </c>
      <c r="Z30">
        <f>IF(Z$12&gt;0,ROUNDUP($D30/Z$12,0),"-")</f>
      </c>
      <c r="AA30">
        <f>IF(AA$12&gt;0,ROUNDUP($D30/AA$12,0),"-")</f>
      </c>
      <c r="AB30">
        <f>IF(AB$12&gt;0,ROUNDUP($D30/AB$12,0),"-")</f>
      </c>
      <c r="AC30">
        <f>IF(AC$12&gt;0,ROUNDUP($D30/AC$12,0),"-")</f>
      </c>
      <c r="AD30">
        <f>IF(AD$12&gt;0,ROUNDUP($D30/AD$12,0),"-")</f>
      </c>
      <c r="AE30">
        <f>IF(AE$12&gt;0,ROUNDUP($D30/AE$12,0),"-")</f>
      </c>
      <c r="AF30">
        <f>IF(AF$12&gt;0,ROUNDUP($D30/AF$12,0),"-")</f>
      </c>
      <c r="AG30">
        <f>IF(AG$12&gt;0,ROUNDUP($D30/AG$12,0),"-")</f>
      </c>
      <c r="AH30">
        <f>IF(AH$12&gt;0,ROUNDUP($D30/AH$12,0),"-")</f>
      </c>
      <c r="AI30">
        <f>IF(AI$12&gt;0,ROUNDUP($D30/AI$12,0),"-")</f>
      </c>
      <c r="AJ30">
        <f>IF(AJ$12&gt;0,ROUNDUP($D30/AJ$12,0),"-")</f>
      </c>
      <c r="AK30">
        <f>IF(AK$12&gt;0,ROUNDUP($D30/AK$12,0),"-")</f>
      </c>
      <c r="AL30">
        <f>IF(AL$12&gt;0,ROUNDUP($D30/AL$12,0),"-")</f>
      </c>
      <c r="AM30">
        <f>IF(AM$12&gt;0,ROUNDUP($D30/AM$12,0),"-")</f>
      </c>
      <c r="AN30">
        <f>IF(AN$12&gt;0,ROUNDUP($D30/AN$12,0),"-")</f>
      </c>
      <c r="AO30">
        <f>IF(AO$12&gt;0,ROUNDUP($D30/AO$12,0),"-")</f>
      </c>
      <c r="AP30">
        <f>IF(AP$12&gt;0,ROUNDUP($D30/AP$12,0),"-")</f>
      </c>
      <c r="AQ30">
        <f>IF(AQ$12&gt;0,ROUNDUP($D30/AQ$12,0),"-")</f>
      </c>
      <c r="AR30">
        <f>IF(AR$12&gt;0,ROUNDUP($D30/AR$12,0),"-")</f>
      </c>
      <c r="AS30">
        <f>IF(AS$12&gt;0,ROUNDUP($D30/AS$12,0),"-")</f>
      </c>
      <c r="AT30">
        <f>IF(AT$12&gt;0,ROUNDUP($D30/AT$12,0),"-")</f>
      </c>
      <c r="AU30">
        <f>IF(AU$12&gt;0,ROUNDUP($D30/AU$12,0),"-")</f>
      </c>
      <c r="AV30">
        <f>IF(AV$12&gt;0,ROUNDUP($D30/AV$12,0),"-")</f>
      </c>
      <c r="AW30">
        <f>IF(AW$12&gt;0,ROUNDUP($D30/AW$12,0),"-")</f>
      </c>
      <c r="AX30">
        <f>IF(AX$12&gt;0,ROUNDUP($D30/AX$12,0),"-")</f>
      </c>
      <c r="AY30">
        <f>IF(AY$12&gt;0,ROUNDUP($D30/AY$12,0),"-")</f>
      </c>
      <c r="AZ30">
        <f>IF(AZ$12&gt;0,ROUNDUP($D30/AZ$12,0),"-")</f>
      </c>
      <c r="BA30">
        <f>IF(BA$12&gt;0,ROUNDUP($D30/BA$12,0),"-")</f>
      </c>
    </row>
    <row r="31" spans="1:53" x14ac:dyDescent="0.25">
      <c r="A31" t="s">
        <v>67</v>
      </c>
      <c r="B31">
        <f>INDEX(enemigos!$B$3:$B$500,MATCH($A31,enemigos!$A$3:$A$500,0))</f>
      </c>
      <c r="C31">
        <f>INDEX(enemigos!$C$3:$C$500,MATCH($A31,enemigos!$A$3:$A$500,0))</f>
      </c>
      <c r="D31">
        <f>IF($C31="bicho",INDEX(enemigos!$D$3:$D$500,MATCH($A31,enemigos!$A$3:$A$500,0))*INDEX(ritmo!$B$3:$B$500,MATCH("dureza_vida",ritmo!$A$3:$A$500,0))*(1+$B$4/INDEX(ritmo!$B$3:$B$500,MATCH("vida_escala_seg",ritmo!$A$3:$A$500,0))),INDEX(enemigos!$D$3:$D$500,MATCH($A31,enemigos!$A$3:$A$500,0)))</f>
      </c>
      <c r="E31">
        <f>IF(E$12&gt;0,ROUNDUP($D31/E$12,0),"-")</f>
      </c>
      <c r="F31">
        <f>IF(F$12&gt;0,ROUNDUP($D31/F$12,0),"-")</f>
      </c>
      <c r="G31">
        <f>IF(G$12&gt;0,ROUNDUP($D31/G$12,0),"-")</f>
      </c>
      <c r="H31">
        <f>IF(H$12&gt;0,ROUNDUP($D31/H$12,0),"-")</f>
      </c>
      <c r="I31">
        <f>IF(I$12&gt;0,ROUNDUP($D31/I$12,0),"-")</f>
      </c>
      <c r="J31">
        <f>IF(J$12&gt;0,ROUNDUP($D31/J$12,0),"-")</f>
      </c>
      <c r="K31">
        <f>IF(K$12&gt;0,ROUNDUP($D31/K$12,0),"-")</f>
      </c>
      <c r="L31">
        <f>IF(L$12&gt;0,ROUNDUP($D31/L$12,0),"-")</f>
      </c>
      <c r="M31">
        <f>IF(M$12&gt;0,ROUNDUP($D31/M$12,0),"-")</f>
      </c>
      <c r="N31">
        <f>IF(N$12&gt;0,ROUNDUP($D31/N$12,0),"-")</f>
      </c>
      <c r="O31">
        <f>IF(O$12&gt;0,ROUNDUP($D31/O$12,0),"-")</f>
      </c>
      <c r="P31">
        <f>IF(P$12&gt;0,ROUNDUP($D31/P$12,0),"-")</f>
      </c>
      <c r="Q31">
        <f>IF(Q$12&gt;0,ROUNDUP($D31/Q$12,0),"-")</f>
      </c>
      <c r="R31">
        <f>IF(R$12&gt;0,ROUNDUP($D31/R$12,0),"-")</f>
      </c>
      <c r="S31">
        <f>IF(S$12&gt;0,ROUNDUP($D31/S$12,0),"-")</f>
      </c>
      <c r="T31">
        <f>IF(T$12&gt;0,ROUNDUP($D31/T$12,0),"-")</f>
      </c>
      <c r="U31">
        <f>IF(U$12&gt;0,ROUNDUP($D31/U$12,0),"-")</f>
      </c>
      <c r="V31">
        <f>IF(V$12&gt;0,ROUNDUP($D31/V$12,0),"-")</f>
      </c>
      <c r="W31">
        <f>IF(W$12&gt;0,ROUNDUP($D31/W$12,0),"-")</f>
      </c>
      <c r="X31">
        <f>IF(X$12&gt;0,ROUNDUP($D31/X$12,0),"-")</f>
      </c>
      <c r="Y31">
        <f>IF(Y$12&gt;0,ROUNDUP($D31/Y$12,0),"-")</f>
      </c>
      <c r="Z31">
        <f>IF(Z$12&gt;0,ROUNDUP($D31/Z$12,0),"-")</f>
      </c>
      <c r="AA31">
        <f>IF(AA$12&gt;0,ROUNDUP($D31/AA$12,0),"-")</f>
      </c>
      <c r="AB31">
        <f>IF(AB$12&gt;0,ROUNDUP($D31/AB$12,0),"-")</f>
      </c>
      <c r="AC31">
        <f>IF(AC$12&gt;0,ROUNDUP($D31/AC$12,0),"-")</f>
      </c>
      <c r="AD31">
        <f>IF(AD$12&gt;0,ROUNDUP($D31/AD$12,0),"-")</f>
      </c>
      <c r="AE31">
        <f>IF(AE$12&gt;0,ROUNDUP($D31/AE$12,0),"-")</f>
      </c>
      <c r="AF31">
        <f>IF(AF$12&gt;0,ROUNDUP($D31/AF$12,0),"-")</f>
      </c>
      <c r="AG31">
        <f>IF(AG$12&gt;0,ROUNDUP($D31/AG$12,0),"-")</f>
      </c>
      <c r="AH31">
        <f>IF(AH$12&gt;0,ROUNDUP($D31/AH$12,0),"-")</f>
      </c>
      <c r="AI31">
        <f>IF(AI$12&gt;0,ROUNDUP($D31/AI$12,0),"-")</f>
      </c>
      <c r="AJ31">
        <f>IF(AJ$12&gt;0,ROUNDUP($D31/AJ$12,0),"-")</f>
      </c>
      <c r="AK31">
        <f>IF(AK$12&gt;0,ROUNDUP($D31/AK$12,0),"-")</f>
      </c>
      <c r="AL31">
        <f>IF(AL$12&gt;0,ROUNDUP($D31/AL$12,0),"-")</f>
      </c>
      <c r="AM31">
        <f>IF(AM$12&gt;0,ROUNDUP($D31/AM$12,0),"-")</f>
      </c>
      <c r="AN31">
        <f>IF(AN$12&gt;0,ROUNDUP($D31/AN$12,0),"-")</f>
      </c>
      <c r="AO31">
        <f>IF(AO$12&gt;0,ROUNDUP($D31/AO$12,0),"-")</f>
      </c>
      <c r="AP31">
        <f>IF(AP$12&gt;0,ROUNDUP($D31/AP$12,0),"-")</f>
      </c>
      <c r="AQ31">
        <f>IF(AQ$12&gt;0,ROUNDUP($D31/AQ$12,0),"-")</f>
      </c>
      <c r="AR31">
        <f>IF(AR$12&gt;0,ROUNDUP($D31/AR$12,0),"-")</f>
      </c>
      <c r="AS31">
        <f>IF(AS$12&gt;0,ROUNDUP($D31/AS$12,0),"-")</f>
      </c>
      <c r="AT31">
        <f>IF(AT$12&gt;0,ROUNDUP($D31/AT$12,0),"-")</f>
      </c>
      <c r="AU31">
        <f>IF(AU$12&gt;0,ROUNDUP($D31/AU$12,0),"-")</f>
      </c>
      <c r="AV31">
        <f>IF(AV$12&gt;0,ROUNDUP($D31/AV$12,0),"-")</f>
      </c>
      <c r="AW31">
        <f>IF(AW$12&gt;0,ROUNDUP($D31/AW$12,0),"-")</f>
      </c>
      <c r="AX31">
        <f>IF(AX$12&gt;0,ROUNDUP($D31/AX$12,0),"-")</f>
      </c>
      <c r="AY31">
        <f>IF(AY$12&gt;0,ROUNDUP($D31/AY$12,0),"-")</f>
      </c>
      <c r="AZ31">
        <f>IF(AZ$12&gt;0,ROUNDUP($D31/AZ$12,0),"-")</f>
      </c>
      <c r="BA31">
        <f>IF(BA$12&gt;0,ROUNDUP($D31/BA$12,0),"-")</f>
      </c>
    </row>
    <row r="32" spans="1:53" x14ac:dyDescent="0.25">
      <c r="A32" t="s">
        <v>69</v>
      </c>
      <c r="B32">
        <f>INDEX(enemigos!$B$3:$B$500,MATCH($A32,enemigos!$A$3:$A$500,0))</f>
      </c>
      <c r="C32">
        <f>INDEX(enemigos!$C$3:$C$500,MATCH($A32,enemigos!$A$3:$A$500,0))</f>
      </c>
      <c r="D32">
        <f>IF($C32="bicho",INDEX(enemigos!$D$3:$D$500,MATCH($A32,enemigos!$A$3:$A$500,0))*INDEX(ritmo!$B$3:$B$500,MATCH("dureza_vida",ritmo!$A$3:$A$500,0))*(1+$B$4/INDEX(ritmo!$B$3:$B$500,MATCH("vida_escala_seg",ritmo!$A$3:$A$500,0))),INDEX(enemigos!$D$3:$D$500,MATCH($A32,enemigos!$A$3:$A$500,0)))</f>
      </c>
      <c r="E32">
        <f>IF(E$12&gt;0,ROUNDUP($D32/E$12,0),"-")</f>
      </c>
      <c r="F32">
        <f>IF(F$12&gt;0,ROUNDUP($D32/F$12,0),"-")</f>
      </c>
      <c r="G32">
        <f>IF(G$12&gt;0,ROUNDUP($D32/G$12,0),"-")</f>
      </c>
      <c r="H32">
        <f>IF(H$12&gt;0,ROUNDUP($D32/H$12,0),"-")</f>
      </c>
      <c r="I32">
        <f>IF(I$12&gt;0,ROUNDUP($D32/I$12,0),"-")</f>
      </c>
      <c r="J32">
        <f>IF(J$12&gt;0,ROUNDUP($D32/J$12,0),"-")</f>
      </c>
      <c r="K32">
        <f>IF(K$12&gt;0,ROUNDUP($D32/K$12,0),"-")</f>
      </c>
      <c r="L32">
        <f>IF(L$12&gt;0,ROUNDUP($D32/L$12,0),"-")</f>
      </c>
      <c r="M32">
        <f>IF(M$12&gt;0,ROUNDUP($D32/M$12,0),"-")</f>
      </c>
      <c r="N32">
        <f>IF(N$12&gt;0,ROUNDUP($D32/N$12,0),"-")</f>
      </c>
      <c r="O32">
        <f>IF(O$12&gt;0,ROUNDUP($D32/O$12,0),"-")</f>
      </c>
      <c r="P32">
        <f>IF(P$12&gt;0,ROUNDUP($D32/P$12,0),"-")</f>
      </c>
      <c r="Q32">
        <f>IF(Q$12&gt;0,ROUNDUP($D32/Q$12,0),"-")</f>
      </c>
      <c r="R32">
        <f>IF(R$12&gt;0,ROUNDUP($D32/R$12,0),"-")</f>
      </c>
      <c r="S32">
        <f>IF(S$12&gt;0,ROUNDUP($D32/S$12,0),"-")</f>
      </c>
      <c r="T32">
        <f>IF(T$12&gt;0,ROUNDUP($D32/T$12,0),"-")</f>
      </c>
      <c r="U32">
        <f>IF(U$12&gt;0,ROUNDUP($D32/U$12,0),"-")</f>
      </c>
      <c r="V32">
        <f>IF(V$12&gt;0,ROUNDUP($D32/V$12,0),"-")</f>
      </c>
      <c r="W32">
        <f>IF(W$12&gt;0,ROUNDUP($D32/W$12,0),"-")</f>
      </c>
      <c r="X32">
        <f>IF(X$12&gt;0,ROUNDUP($D32/X$12,0),"-")</f>
      </c>
      <c r="Y32">
        <f>IF(Y$12&gt;0,ROUNDUP($D32/Y$12,0),"-")</f>
      </c>
      <c r="Z32">
        <f>IF(Z$12&gt;0,ROUNDUP($D32/Z$12,0),"-")</f>
      </c>
      <c r="AA32">
        <f>IF(AA$12&gt;0,ROUNDUP($D32/AA$12,0),"-")</f>
      </c>
      <c r="AB32">
        <f>IF(AB$12&gt;0,ROUNDUP($D32/AB$12,0),"-")</f>
      </c>
      <c r="AC32">
        <f>IF(AC$12&gt;0,ROUNDUP($D32/AC$12,0),"-")</f>
      </c>
      <c r="AD32">
        <f>IF(AD$12&gt;0,ROUNDUP($D32/AD$12,0),"-")</f>
      </c>
      <c r="AE32">
        <f>IF(AE$12&gt;0,ROUNDUP($D32/AE$12,0),"-")</f>
      </c>
      <c r="AF32">
        <f>IF(AF$12&gt;0,ROUNDUP($D32/AF$12,0),"-")</f>
      </c>
      <c r="AG32">
        <f>IF(AG$12&gt;0,ROUNDUP($D32/AG$12,0),"-")</f>
      </c>
      <c r="AH32">
        <f>IF(AH$12&gt;0,ROUNDUP($D32/AH$12,0),"-")</f>
      </c>
      <c r="AI32">
        <f>IF(AI$12&gt;0,ROUNDUP($D32/AI$12,0),"-")</f>
      </c>
      <c r="AJ32">
        <f>IF(AJ$12&gt;0,ROUNDUP($D32/AJ$12,0),"-")</f>
      </c>
      <c r="AK32">
        <f>IF(AK$12&gt;0,ROUNDUP($D32/AK$12,0),"-")</f>
      </c>
      <c r="AL32">
        <f>IF(AL$12&gt;0,ROUNDUP($D32/AL$12,0),"-")</f>
      </c>
      <c r="AM32">
        <f>IF(AM$12&gt;0,ROUNDUP($D32/AM$12,0),"-")</f>
      </c>
      <c r="AN32">
        <f>IF(AN$12&gt;0,ROUNDUP($D32/AN$12,0),"-")</f>
      </c>
      <c r="AO32">
        <f>IF(AO$12&gt;0,ROUNDUP($D32/AO$12,0),"-")</f>
      </c>
      <c r="AP32">
        <f>IF(AP$12&gt;0,ROUNDUP($D32/AP$12,0),"-")</f>
      </c>
      <c r="AQ32">
        <f>IF(AQ$12&gt;0,ROUNDUP($D32/AQ$12,0),"-")</f>
      </c>
      <c r="AR32">
        <f>IF(AR$12&gt;0,ROUNDUP($D32/AR$12,0),"-")</f>
      </c>
      <c r="AS32">
        <f>IF(AS$12&gt;0,ROUNDUP($D32/AS$12,0),"-")</f>
      </c>
      <c r="AT32">
        <f>IF(AT$12&gt;0,ROUNDUP($D32/AT$12,0),"-")</f>
      </c>
      <c r="AU32">
        <f>IF(AU$12&gt;0,ROUNDUP($D32/AU$12,0),"-")</f>
      </c>
      <c r="AV32">
        <f>IF(AV$12&gt;0,ROUNDUP($D32/AV$12,0),"-")</f>
      </c>
      <c r="AW32">
        <f>IF(AW$12&gt;0,ROUNDUP($D32/AW$12,0),"-")</f>
      </c>
      <c r="AX32">
        <f>IF(AX$12&gt;0,ROUNDUP($D32/AX$12,0),"-")</f>
      </c>
      <c r="AY32">
        <f>IF(AY$12&gt;0,ROUNDUP($D32/AY$12,0),"-")</f>
      </c>
      <c r="AZ32">
        <f>IF(AZ$12&gt;0,ROUNDUP($D32/AZ$12,0),"-")</f>
      </c>
      <c r="BA32">
        <f>IF(BA$12&gt;0,ROUNDUP($D32/BA$12,0),"-")</f>
      </c>
    </row>
    <row r="33" spans="1:53" x14ac:dyDescent="0.25">
      <c r="A33" t="s">
        <v>71</v>
      </c>
      <c r="B33">
        <f>INDEX(enemigos!$B$3:$B$500,MATCH($A33,enemigos!$A$3:$A$500,0))</f>
      </c>
      <c r="C33">
        <f>INDEX(enemigos!$C$3:$C$500,MATCH($A33,enemigos!$A$3:$A$500,0))</f>
      </c>
      <c r="D33">
        <f>IF($C33="bicho",INDEX(enemigos!$D$3:$D$500,MATCH($A33,enemigos!$A$3:$A$500,0))*INDEX(ritmo!$B$3:$B$500,MATCH("dureza_vida",ritmo!$A$3:$A$500,0))*(1+$B$4/INDEX(ritmo!$B$3:$B$500,MATCH("vida_escala_seg",ritmo!$A$3:$A$500,0))),INDEX(enemigos!$D$3:$D$500,MATCH($A33,enemigos!$A$3:$A$500,0)))</f>
      </c>
      <c r="E33">
        <f>IF(E$12&gt;0,ROUNDUP($D33/E$12,0),"-")</f>
      </c>
      <c r="F33">
        <f>IF(F$12&gt;0,ROUNDUP($D33/F$12,0),"-")</f>
      </c>
      <c r="G33">
        <f>IF(G$12&gt;0,ROUNDUP($D33/G$12,0),"-")</f>
      </c>
      <c r="H33">
        <f>IF(H$12&gt;0,ROUNDUP($D33/H$12,0),"-")</f>
      </c>
      <c r="I33">
        <f>IF(I$12&gt;0,ROUNDUP($D33/I$12,0),"-")</f>
      </c>
      <c r="J33">
        <f>IF(J$12&gt;0,ROUNDUP($D33/J$12,0),"-")</f>
      </c>
      <c r="K33">
        <f>IF(K$12&gt;0,ROUNDUP($D33/K$12,0),"-")</f>
      </c>
      <c r="L33">
        <f>IF(L$12&gt;0,ROUNDUP($D33/L$12,0),"-")</f>
      </c>
      <c r="M33">
        <f>IF(M$12&gt;0,ROUNDUP($D33/M$12,0),"-")</f>
      </c>
      <c r="N33">
        <f>IF(N$12&gt;0,ROUNDUP($D33/N$12,0),"-")</f>
      </c>
      <c r="O33">
        <f>IF(O$12&gt;0,ROUNDUP($D33/O$12,0),"-")</f>
      </c>
      <c r="P33">
        <f>IF(P$12&gt;0,ROUNDUP($D33/P$12,0),"-")</f>
      </c>
      <c r="Q33">
        <f>IF(Q$12&gt;0,ROUNDUP($D33/Q$12,0),"-")</f>
      </c>
      <c r="R33">
        <f>IF(R$12&gt;0,ROUNDUP($D33/R$12,0),"-")</f>
      </c>
      <c r="S33">
        <f>IF(S$12&gt;0,ROUNDUP($D33/S$12,0),"-")</f>
      </c>
      <c r="T33">
        <f>IF(T$12&gt;0,ROUNDUP($D33/T$12,0),"-")</f>
      </c>
      <c r="U33">
        <f>IF(U$12&gt;0,ROUNDUP($D33/U$12,0),"-")</f>
      </c>
      <c r="V33">
        <f>IF(V$12&gt;0,ROUNDUP($D33/V$12,0),"-")</f>
      </c>
      <c r="W33">
        <f>IF(W$12&gt;0,ROUNDUP($D33/W$12,0),"-")</f>
      </c>
      <c r="X33">
        <f>IF(X$12&gt;0,ROUNDUP($D33/X$12,0),"-")</f>
      </c>
      <c r="Y33">
        <f>IF(Y$12&gt;0,ROUNDUP($D33/Y$12,0),"-")</f>
      </c>
      <c r="Z33">
        <f>IF(Z$12&gt;0,ROUNDUP($D33/Z$12,0),"-")</f>
      </c>
      <c r="AA33">
        <f>IF(AA$12&gt;0,ROUNDUP($D33/AA$12,0),"-")</f>
      </c>
      <c r="AB33">
        <f>IF(AB$12&gt;0,ROUNDUP($D33/AB$12,0),"-")</f>
      </c>
      <c r="AC33">
        <f>IF(AC$12&gt;0,ROUNDUP($D33/AC$12,0),"-")</f>
      </c>
      <c r="AD33">
        <f>IF(AD$12&gt;0,ROUNDUP($D33/AD$12,0),"-")</f>
      </c>
      <c r="AE33">
        <f>IF(AE$12&gt;0,ROUNDUP($D33/AE$12,0),"-")</f>
      </c>
      <c r="AF33">
        <f>IF(AF$12&gt;0,ROUNDUP($D33/AF$12,0),"-")</f>
      </c>
      <c r="AG33">
        <f>IF(AG$12&gt;0,ROUNDUP($D33/AG$12,0),"-")</f>
      </c>
      <c r="AH33">
        <f>IF(AH$12&gt;0,ROUNDUP($D33/AH$12,0),"-")</f>
      </c>
      <c r="AI33">
        <f>IF(AI$12&gt;0,ROUNDUP($D33/AI$12,0),"-")</f>
      </c>
      <c r="AJ33">
        <f>IF(AJ$12&gt;0,ROUNDUP($D33/AJ$12,0),"-")</f>
      </c>
      <c r="AK33">
        <f>IF(AK$12&gt;0,ROUNDUP($D33/AK$12,0),"-")</f>
      </c>
      <c r="AL33">
        <f>IF(AL$12&gt;0,ROUNDUP($D33/AL$12,0),"-")</f>
      </c>
      <c r="AM33">
        <f>IF(AM$12&gt;0,ROUNDUP($D33/AM$12,0),"-")</f>
      </c>
      <c r="AN33">
        <f>IF(AN$12&gt;0,ROUNDUP($D33/AN$12,0),"-")</f>
      </c>
      <c r="AO33">
        <f>IF(AO$12&gt;0,ROUNDUP($D33/AO$12,0),"-")</f>
      </c>
      <c r="AP33">
        <f>IF(AP$12&gt;0,ROUNDUP($D33/AP$12,0),"-")</f>
      </c>
      <c r="AQ33">
        <f>IF(AQ$12&gt;0,ROUNDUP($D33/AQ$12,0),"-")</f>
      </c>
      <c r="AR33">
        <f>IF(AR$12&gt;0,ROUNDUP($D33/AR$12,0),"-")</f>
      </c>
      <c r="AS33">
        <f>IF(AS$12&gt;0,ROUNDUP($D33/AS$12,0),"-")</f>
      </c>
      <c r="AT33">
        <f>IF(AT$12&gt;0,ROUNDUP($D33/AT$12,0),"-")</f>
      </c>
      <c r="AU33">
        <f>IF(AU$12&gt;0,ROUNDUP($D33/AU$12,0),"-")</f>
      </c>
      <c r="AV33">
        <f>IF(AV$12&gt;0,ROUNDUP($D33/AV$12,0),"-")</f>
      </c>
      <c r="AW33">
        <f>IF(AW$12&gt;0,ROUNDUP($D33/AW$12,0),"-")</f>
      </c>
      <c r="AX33">
        <f>IF(AX$12&gt;0,ROUNDUP($D33/AX$12,0),"-")</f>
      </c>
      <c r="AY33">
        <f>IF(AY$12&gt;0,ROUNDUP($D33/AY$12,0),"-")</f>
      </c>
      <c r="AZ33">
        <f>IF(AZ$12&gt;0,ROUNDUP($D33/AZ$12,0),"-")</f>
      </c>
      <c r="BA33">
        <f>IF(BA$12&gt;0,ROUNDUP($D33/BA$12,0),"-")</f>
      </c>
    </row>
    <row r="34" spans="1:53" x14ac:dyDescent="0.25">
      <c r="A34" t="s">
        <v>73</v>
      </c>
      <c r="B34">
        <f>INDEX(enemigos!$B$3:$B$500,MATCH($A34,enemigos!$A$3:$A$500,0))</f>
      </c>
      <c r="C34">
        <f>INDEX(enemigos!$C$3:$C$500,MATCH($A34,enemigos!$A$3:$A$500,0))</f>
      </c>
      <c r="D34">
        <f>IF($C34="bicho",INDEX(enemigos!$D$3:$D$500,MATCH($A34,enemigos!$A$3:$A$500,0))*INDEX(ritmo!$B$3:$B$500,MATCH("dureza_vida",ritmo!$A$3:$A$500,0))*(1+$B$4/INDEX(ritmo!$B$3:$B$500,MATCH("vida_escala_seg",ritmo!$A$3:$A$500,0))),INDEX(enemigos!$D$3:$D$500,MATCH($A34,enemigos!$A$3:$A$500,0)))</f>
      </c>
      <c r="E34">
        <f>IF(E$12&gt;0,ROUNDUP($D34/E$12,0),"-")</f>
      </c>
      <c r="F34">
        <f>IF(F$12&gt;0,ROUNDUP($D34/F$12,0),"-")</f>
      </c>
      <c r="G34">
        <f>IF(G$12&gt;0,ROUNDUP($D34/G$12,0),"-")</f>
      </c>
      <c r="H34">
        <f>IF(H$12&gt;0,ROUNDUP($D34/H$12,0),"-")</f>
      </c>
      <c r="I34">
        <f>IF(I$12&gt;0,ROUNDUP($D34/I$12,0),"-")</f>
      </c>
      <c r="J34">
        <f>IF(J$12&gt;0,ROUNDUP($D34/J$12,0),"-")</f>
      </c>
      <c r="K34">
        <f>IF(K$12&gt;0,ROUNDUP($D34/K$12,0),"-")</f>
      </c>
      <c r="L34">
        <f>IF(L$12&gt;0,ROUNDUP($D34/L$12,0),"-")</f>
      </c>
      <c r="M34">
        <f>IF(M$12&gt;0,ROUNDUP($D34/M$12,0),"-")</f>
      </c>
      <c r="N34">
        <f>IF(N$12&gt;0,ROUNDUP($D34/N$12,0),"-")</f>
      </c>
      <c r="O34">
        <f>IF(O$12&gt;0,ROUNDUP($D34/O$12,0),"-")</f>
      </c>
      <c r="P34">
        <f>IF(P$12&gt;0,ROUNDUP($D34/P$12,0),"-")</f>
      </c>
      <c r="Q34">
        <f>IF(Q$12&gt;0,ROUNDUP($D34/Q$12,0),"-")</f>
      </c>
      <c r="R34">
        <f>IF(R$12&gt;0,ROUNDUP($D34/R$12,0),"-")</f>
      </c>
      <c r="S34">
        <f>IF(S$12&gt;0,ROUNDUP($D34/S$12,0),"-")</f>
      </c>
      <c r="T34">
        <f>IF(T$12&gt;0,ROUNDUP($D34/T$12,0),"-")</f>
      </c>
      <c r="U34">
        <f>IF(U$12&gt;0,ROUNDUP($D34/U$12,0),"-")</f>
      </c>
      <c r="V34">
        <f>IF(V$12&gt;0,ROUNDUP($D34/V$12,0),"-")</f>
      </c>
      <c r="W34">
        <f>IF(W$12&gt;0,ROUNDUP($D34/W$12,0),"-")</f>
      </c>
      <c r="X34">
        <f>IF(X$12&gt;0,ROUNDUP($D34/X$12,0),"-")</f>
      </c>
      <c r="Y34">
        <f>IF(Y$12&gt;0,ROUNDUP($D34/Y$12,0),"-")</f>
      </c>
      <c r="Z34">
        <f>IF(Z$12&gt;0,ROUNDUP($D34/Z$12,0),"-")</f>
      </c>
      <c r="AA34">
        <f>IF(AA$12&gt;0,ROUNDUP($D34/AA$12,0),"-")</f>
      </c>
      <c r="AB34">
        <f>IF(AB$12&gt;0,ROUNDUP($D34/AB$12,0),"-")</f>
      </c>
      <c r="AC34">
        <f>IF(AC$12&gt;0,ROUNDUP($D34/AC$12,0),"-")</f>
      </c>
      <c r="AD34">
        <f>IF(AD$12&gt;0,ROUNDUP($D34/AD$12,0),"-")</f>
      </c>
      <c r="AE34">
        <f>IF(AE$12&gt;0,ROUNDUP($D34/AE$12,0),"-")</f>
      </c>
      <c r="AF34">
        <f>IF(AF$12&gt;0,ROUNDUP($D34/AF$12,0),"-")</f>
      </c>
      <c r="AG34">
        <f>IF(AG$12&gt;0,ROUNDUP($D34/AG$12,0),"-")</f>
      </c>
      <c r="AH34">
        <f>IF(AH$12&gt;0,ROUNDUP($D34/AH$12,0),"-")</f>
      </c>
      <c r="AI34">
        <f>IF(AI$12&gt;0,ROUNDUP($D34/AI$12,0),"-")</f>
      </c>
      <c r="AJ34">
        <f>IF(AJ$12&gt;0,ROUNDUP($D34/AJ$12,0),"-")</f>
      </c>
      <c r="AK34">
        <f>IF(AK$12&gt;0,ROUNDUP($D34/AK$12,0),"-")</f>
      </c>
      <c r="AL34">
        <f>IF(AL$12&gt;0,ROUNDUP($D34/AL$12,0),"-")</f>
      </c>
      <c r="AM34">
        <f>IF(AM$12&gt;0,ROUNDUP($D34/AM$12,0),"-")</f>
      </c>
      <c r="AN34">
        <f>IF(AN$12&gt;0,ROUNDUP($D34/AN$12,0),"-")</f>
      </c>
      <c r="AO34">
        <f>IF(AO$12&gt;0,ROUNDUP($D34/AO$12,0),"-")</f>
      </c>
      <c r="AP34">
        <f>IF(AP$12&gt;0,ROUNDUP($D34/AP$12,0),"-")</f>
      </c>
      <c r="AQ34">
        <f>IF(AQ$12&gt;0,ROUNDUP($D34/AQ$12,0),"-")</f>
      </c>
      <c r="AR34">
        <f>IF(AR$12&gt;0,ROUNDUP($D34/AR$12,0),"-")</f>
      </c>
      <c r="AS34">
        <f>IF(AS$12&gt;0,ROUNDUP($D34/AS$12,0),"-")</f>
      </c>
      <c r="AT34">
        <f>IF(AT$12&gt;0,ROUNDUP($D34/AT$12,0),"-")</f>
      </c>
      <c r="AU34">
        <f>IF(AU$12&gt;0,ROUNDUP($D34/AU$12,0),"-")</f>
      </c>
      <c r="AV34">
        <f>IF(AV$12&gt;0,ROUNDUP($D34/AV$12,0),"-")</f>
      </c>
      <c r="AW34">
        <f>IF(AW$12&gt;0,ROUNDUP($D34/AW$12,0),"-")</f>
      </c>
      <c r="AX34">
        <f>IF(AX$12&gt;0,ROUNDUP($D34/AX$12,0),"-")</f>
      </c>
      <c r="AY34">
        <f>IF(AY$12&gt;0,ROUNDUP($D34/AY$12,0),"-")</f>
      </c>
      <c r="AZ34">
        <f>IF(AZ$12&gt;0,ROUNDUP($D34/AZ$12,0),"-")</f>
      </c>
      <c r="BA34">
        <f>IF(BA$12&gt;0,ROUNDUP($D34/BA$12,0),"-")</f>
      </c>
    </row>
    <row r="35" spans="1:53" x14ac:dyDescent="0.25">
      <c r="A35" t="s">
        <v>75</v>
      </c>
      <c r="B35">
        <f>INDEX(enemigos!$B$3:$B$500,MATCH($A35,enemigos!$A$3:$A$500,0))</f>
      </c>
      <c r="C35">
        <f>INDEX(enemigos!$C$3:$C$500,MATCH($A35,enemigos!$A$3:$A$500,0))</f>
      </c>
      <c r="D35">
        <f>IF($C35="bicho",INDEX(enemigos!$D$3:$D$500,MATCH($A35,enemigos!$A$3:$A$500,0))*INDEX(ritmo!$B$3:$B$500,MATCH("dureza_vida",ritmo!$A$3:$A$500,0))*(1+$B$4/INDEX(ritmo!$B$3:$B$500,MATCH("vida_escala_seg",ritmo!$A$3:$A$500,0))),INDEX(enemigos!$D$3:$D$500,MATCH($A35,enemigos!$A$3:$A$500,0)))</f>
      </c>
      <c r="E35">
        <f>IF(E$12&gt;0,ROUNDUP($D35/E$12,0),"-")</f>
      </c>
      <c r="F35">
        <f>IF(F$12&gt;0,ROUNDUP($D35/F$12,0),"-")</f>
      </c>
      <c r="G35">
        <f>IF(G$12&gt;0,ROUNDUP($D35/G$12,0),"-")</f>
      </c>
      <c r="H35">
        <f>IF(H$12&gt;0,ROUNDUP($D35/H$12,0),"-")</f>
      </c>
      <c r="I35">
        <f>IF(I$12&gt;0,ROUNDUP($D35/I$12,0),"-")</f>
      </c>
      <c r="J35">
        <f>IF(J$12&gt;0,ROUNDUP($D35/J$12,0),"-")</f>
      </c>
      <c r="K35">
        <f>IF(K$12&gt;0,ROUNDUP($D35/K$12,0),"-")</f>
      </c>
      <c r="L35">
        <f>IF(L$12&gt;0,ROUNDUP($D35/L$12,0),"-")</f>
      </c>
      <c r="M35">
        <f>IF(M$12&gt;0,ROUNDUP($D35/M$12,0),"-")</f>
      </c>
      <c r="N35">
        <f>IF(N$12&gt;0,ROUNDUP($D35/N$12,0),"-")</f>
      </c>
      <c r="O35">
        <f>IF(O$12&gt;0,ROUNDUP($D35/O$12,0),"-")</f>
      </c>
      <c r="P35">
        <f>IF(P$12&gt;0,ROUNDUP($D35/P$12,0),"-")</f>
      </c>
      <c r="Q35">
        <f>IF(Q$12&gt;0,ROUNDUP($D35/Q$12,0),"-")</f>
      </c>
      <c r="R35">
        <f>IF(R$12&gt;0,ROUNDUP($D35/R$12,0),"-")</f>
      </c>
      <c r="S35">
        <f>IF(S$12&gt;0,ROUNDUP($D35/S$12,0),"-")</f>
      </c>
      <c r="T35">
        <f>IF(T$12&gt;0,ROUNDUP($D35/T$12,0),"-")</f>
      </c>
      <c r="U35">
        <f>IF(U$12&gt;0,ROUNDUP($D35/U$12,0),"-")</f>
      </c>
      <c r="V35">
        <f>IF(V$12&gt;0,ROUNDUP($D35/V$12,0),"-")</f>
      </c>
      <c r="W35">
        <f>IF(W$12&gt;0,ROUNDUP($D35/W$12,0),"-")</f>
      </c>
      <c r="X35">
        <f>IF(X$12&gt;0,ROUNDUP($D35/X$12,0),"-")</f>
      </c>
      <c r="Y35">
        <f>IF(Y$12&gt;0,ROUNDUP($D35/Y$12,0),"-")</f>
      </c>
      <c r="Z35">
        <f>IF(Z$12&gt;0,ROUNDUP($D35/Z$12,0),"-")</f>
      </c>
      <c r="AA35">
        <f>IF(AA$12&gt;0,ROUNDUP($D35/AA$12,0),"-")</f>
      </c>
      <c r="AB35">
        <f>IF(AB$12&gt;0,ROUNDUP($D35/AB$12,0),"-")</f>
      </c>
      <c r="AC35">
        <f>IF(AC$12&gt;0,ROUNDUP($D35/AC$12,0),"-")</f>
      </c>
      <c r="AD35">
        <f>IF(AD$12&gt;0,ROUNDUP($D35/AD$12,0),"-")</f>
      </c>
      <c r="AE35">
        <f>IF(AE$12&gt;0,ROUNDUP($D35/AE$12,0),"-")</f>
      </c>
      <c r="AF35">
        <f>IF(AF$12&gt;0,ROUNDUP($D35/AF$12,0),"-")</f>
      </c>
      <c r="AG35">
        <f>IF(AG$12&gt;0,ROUNDUP($D35/AG$12,0),"-")</f>
      </c>
      <c r="AH35">
        <f>IF(AH$12&gt;0,ROUNDUP($D35/AH$12,0),"-")</f>
      </c>
      <c r="AI35">
        <f>IF(AI$12&gt;0,ROUNDUP($D35/AI$12,0),"-")</f>
      </c>
      <c r="AJ35">
        <f>IF(AJ$12&gt;0,ROUNDUP($D35/AJ$12,0),"-")</f>
      </c>
      <c r="AK35">
        <f>IF(AK$12&gt;0,ROUNDUP($D35/AK$12,0),"-")</f>
      </c>
      <c r="AL35">
        <f>IF(AL$12&gt;0,ROUNDUP($D35/AL$12,0),"-")</f>
      </c>
      <c r="AM35">
        <f>IF(AM$12&gt;0,ROUNDUP($D35/AM$12,0),"-")</f>
      </c>
      <c r="AN35">
        <f>IF(AN$12&gt;0,ROUNDUP($D35/AN$12,0),"-")</f>
      </c>
      <c r="AO35">
        <f>IF(AO$12&gt;0,ROUNDUP($D35/AO$12,0),"-")</f>
      </c>
      <c r="AP35">
        <f>IF(AP$12&gt;0,ROUNDUP($D35/AP$12,0),"-")</f>
      </c>
      <c r="AQ35">
        <f>IF(AQ$12&gt;0,ROUNDUP($D35/AQ$12,0),"-")</f>
      </c>
      <c r="AR35">
        <f>IF(AR$12&gt;0,ROUNDUP($D35/AR$12,0),"-")</f>
      </c>
      <c r="AS35">
        <f>IF(AS$12&gt;0,ROUNDUP($D35/AS$12,0),"-")</f>
      </c>
      <c r="AT35">
        <f>IF(AT$12&gt;0,ROUNDUP($D35/AT$12,0),"-")</f>
      </c>
      <c r="AU35">
        <f>IF(AU$12&gt;0,ROUNDUP($D35/AU$12,0),"-")</f>
      </c>
      <c r="AV35">
        <f>IF(AV$12&gt;0,ROUNDUP($D35/AV$12,0),"-")</f>
      </c>
      <c r="AW35">
        <f>IF(AW$12&gt;0,ROUNDUP($D35/AW$12,0),"-")</f>
      </c>
      <c r="AX35">
        <f>IF(AX$12&gt;0,ROUNDUP($D35/AX$12,0),"-")</f>
      </c>
      <c r="AY35">
        <f>IF(AY$12&gt;0,ROUNDUP($D35/AY$12,0),"-")</f>
      </c>
      <c r="AZ35">
        <f>IF(AZ$12&gt;0,ROUNDUP($D35/AZ$12,0),"-")</f>
      </c>
      <c r="BA35">
        <f>IF(BA$12&gt;0,ROUNDUP($D35/BA$12,0),"-")</f>
      </c>
    </row>
    <row r="36" spans="1:53" x14ac:dyDescent="0.25">
      <c r="A36" t="s">
        <v>77</v>
      </c>
      <c r="B36">
        <f>INDEX(enemigos!$B$3:$B$500,MATCH($A36,enemigos!$A$3:$A$500,0))</f>
      </c>
      <c r="C36">
        <f>INDEX(enemigos!$C$3:$C$500,MATCH($A36,enemigos!$A$3:$A$500,0))</f>
      </c>
      <c r="D36">
        <f>IF($C36="bicho",INDEX(enemigos!$D$3:$D$500,MATCH($A36,enemigos!$A$3:$A$500,0))*INDEX(ritmo!$B$3:$B$500,MATCH("dureza_vida",ritmo!$A$3:$A$500,0))*(1+$B$4/INDEX(ritmo!$B$3:$B$500,MATCH("vida_escala_seg",ritmo!$A$3:$A$500,0))),INDEX(enemigos!$D$3:$D$500,MATCH($A36,enemigos!$A$3:$A$500,0)))</f>
      </c>
      <c r="E36">
        <f>IF(E$12&gt;0,ROUNDUP($D36/E$12,0),"-")</f>
      </c>
      <c r="F36">
        <f>IF(F$12&gt;0,ROUNDUP($D36/F$12,0),"-")</f>
      </c>
      <c r="G36">
        <f>IF(G$12&gt;0,ROUNDUP($D36/G$12,0),"-")</f>
      </c>
      <c r="H36">
        <f>IF(H$12&gt;0,ROUNDUP($D36/H$12,0),"-")</f>
      </c>
      <c r="I36">
        <f>IF(I$12&gt;0,ROUNDUP($D36/I$12,0),"-")</f>
      </c>
      <c r="J36">
        <f>IF(J$12&gt;0,ROUNDUP($D36/J$12,0),"-")</f>
      </c>
      <c r="K36">
        <f>IF(K$12&gt;0,ROUNDUP($D36/K$12,0),"-")</f>
      </c>
      <c r="L36">
        <f>IF(L$12&gt;0,ROUNDUP($D36/L$12,0),"-")</f>
      </c>
      <c r="M36">
        <f>IF(M$12&gt;0,ROUNDUP($D36/M$12,0),"-")</f>
      </c>
      <c r="N36">
        <f>IF(N$12&gt;0,ROUNDUP($D36/N$12,0),"-")</f>
      </c>
      <c r="O36">
        <f>IF(O$12&gt;0,ROUNDUP($D36/O$12,0),"-")</f>
      </c>
      <c r="P36">
        <f>IF(P$12&gt;0,ROUNDUP($D36/P$12,0),"-")</f>
      </c>
      <c r="Q36">
        <f>IF(Q$12&gt;0,ROUNDUP($D36/Q$12,0),"-")</f>
      </c>
      <c r="R36">
        <f>IF(R$12&gt;0,ROUNDUP($D36/R$12,0),"-")</f>
      </c>
      <c r="S36">
        <f>IF(S$12&gt;0,ROUNDUP($D36/S$12,0),"-")</f>
      </c>
      <c r="T36">
        <f>IF(T$12&gt;0,ROUNDUP($D36/T$12,0),"-")</f>
      </c>
      <c r="U36">
        <f>IF(U$12&gt;0,ROUNDUP($D36/U$12,0),"-")</f>
      </c>
      <c r="V36">
        <f>IF(V$12&gt;0,ROUNDUP($D36/V$12,0),"-")</f>
      </c>
      <c r="W36">
        <f>IF(W$12&gt;0,ROUNDUP($D36/W$12,0),"-")</f>
      </c>
      <c r="X36">
        <f>IF(X$12&gt;0,ROUNDUP($D36/X$12,0),"-")</f>
      </c>
      <c r="Y36">
        <f>IF(Y$12&gt;0,ROUNDUP($D36/Y$12,0),"-")</f>
      </c>
      <c r="Z36">
        <f>IF(Z$12&gt;0,ROUNDUP($D36/Z$12,0),"-")</f>
      </c>
      <c r="AA36">
        <f>IF(AA$12&gt;0,ROUNDUP($D36/AA$12,0),"-")</f>
      </c>
      <c r="AB36">
        <f>IF(AB$12&gt;0,ROUNDUP($D36/AB$12,0),"-")</f>
      </c>
      <c r="AC36">
        <f>IF(AC$12&gt;0,ROUNDUP($D36/AC$12,0),"-")</f>
      </c>
      <c r="AD36">
        <f>IF(AD$12&gt;0,ROUNDUP($D36/AD$12,0),"-")</f>
      </c>
      <c r="AE36">
        <f>IF(AE$12&gt;0,ROUNDUP($D36/AE$12,0),"-")</f>
      </c>
      <c r="AF36">
        <f>IF(AF$12&gt;0,ROUNDUP($D36/AF$12,0),"-")</f>
      </c>
      <c r="AG36">
        <f>IF(AG$12&gt;0,ROUNDUP($D36/AG$12,0),"-")</f>
      </c>
      <c r="AH36">
        <f>IF(AH$12&gt;0,ROUNDUP($D36/AH$12,0),"-")</f>
      </c>
      <c r="AI36">
        <f>IF(AI$12&gt;0,ROUNDUP($D36/AI$12,0),"-")</f>
      </c>
      <c r="AJ36">
        <f>IF(AJ$12&gt;0,ROUNDUP($D36/AJ$12,0),"-")</f>
      </c>
      <c r="AK36">
        <f>IF(AK$12&gt;0,ROUNDUP($D36/AK$12,0),"-")</f>
      </c>
      <c r="AL36">
        <f>IF(AL$12&gt;0,ROUNDUP($D36/AL$12,0),"-")</f>
      </c>
      <c r="AM36">
        <f>IF(AM$12&gt;0,ROUNDUP($D36/AM$12,0),"-")</f>
      </c>
      <c r="AN36">
        <f>IF(AN$12&gt;0,ROUNDUP($D36/AN$12,0),"-")</f>
      </c>
      <c r="AO36">
        <f>IF(AO$12&gt;0,ROUNDUP($D36/AO$12,0),"-")</f>
      </c>
      <c r="AP36">
        <f>IF(AP$12&gt;0,ROUNDUP($D36/AP$12,0),"-")</f>
      </c>
      <c r="AQ36">
        <f>IF(AQ$12&gt;0,ROUNDUP($D36/AQ$12,0),"-")</f>
      </c>
      <c r="AR36">
        <f>IF(AR$12&gt;0,ROUNDUP($D36/AR$12,0),"-")</f>
      </c>
      <c r="AS36">
        <f>IF(AS$12&gt;0,ROUNDUP($D36/AS$12,0),"-")</f>
      </c>
      <c r="AT36">
        <f>IF(AT$12&gt;0,ROUNDUP($D36/AT$12,0),"-")</f>
      </c>
      <c r="AU36">
        <f>IF(AU$12&gt;0,ROUNDUP($D36/AU$12,0),"-")</f>
      </c>
      <c r="AV36">
        <f>IF(AV$12&gt;0,ROUNDUP($D36/AV$12,0),"-")</f>
      </c>
      <c r="AW36">
        <f>IF(AW$12&gt;0,ROUNDUP($D36/AW$12,0),"-")</f>
      </c>
      <c r="AX36">
        <f>IF(AX$12&gt;0,ROUNDUP($D36/AX$12,0),"-")</f>
      </c>
      <c r="AY36">
        <f>IF(AY$12&gt;0,ROUNDUP($D36/AY$12,0),"-")</f>
      </c>
      <c r="AZ36">
        <f>IF(AZ$12&gt;0,ROUNDUP($D36/AZ$12,0),"-")</f>
      </c>
      <c r="BA36">
        <f>IF(BA$12&gt;0,ROUNDUP($D36/BA$12,0),"-")</f>
      </c>
    </row>
    <row r="37" spans="1:53" x14ac:dyDescent="0.25">
      <c r="A37" t="s">
        <v>79</v>
      </c>
      <c r="B37">
        <f>INDEX(enemigos!$B$3:$B$500,MATCH($A37,enemigos!$A$3:$A$500,0))</f>
      </c>
      <c r="C37">
        <f>INDEX(enemigos!$C$3:$C$500,MATCH($A37,enemigos!$A$3:$A$500,0))</f>
      </c>
      <c r="D37">
        <f>IF($C37="bicho",INDEX(enemigos!$D$3:$D$500,MATCH($A37,enemigos!$A$3:$A$500,0))*INDEX(ritmo!$B$3:$B$500,MATCH("dureza_vida",ritmo!$A$3:$A$500,0))*(1+$B$4/INDEX(ritmo!$B$3:$B$500,MATCH("vida_escala_seg",ritmo!$A$3:$A$500,0))),INDEX(enemigos!$D$3:$D$500,MATCH($A37,enemigos!$A$3:$A$500,0)))</f>
      </c>
      <c r="E37">
        <f>IF(E$12&gt;0,ROUNDUP($D37/E$12,0),"-")</f>
      </c>
      <c r="F37">
        <f>IF(F$12&gt;0,ROUNDUP($D37/F$12,0),"-")</f>
      </c>
      <c r="G37">
        <f>IF(G$12&gt;0,ROUNDUP($D37/G$12,0),"-")</f>
      </c>
      <c r="H37">
        <f>IF(H$12&gt;0,ROUNDUP($D37/H$12,0),"-")</f>
      </c>
      <c r="I37">
        <f>IF(I$12&gt;0,ROUNDUP($D37/I$12,0),"-")</f>
      </c>
      <c r="J37">
        <f>IF(J$12&gt;0,ROUNDUP($D37/J$12,0),"-")</f>
      </c>
      <c r="K37">
        <f>IF(K$12&gt;0,ROUNDUP($D37/K$12,0),"-")</f>
      </c>
      <c r="L37">
        <f>IF(L$12&gt;0,ROUNDUP($D37/L$12,0),"-")</f>
      </c>
      <c r="M37">
        <f>IF(M$12&gt;0,ROUNDUP($D37/M$12,0),"-")</f>
      </c>
      <c r="N37">
        <f>IF(N$12&gt;0,ROUNDUP($D37/N$12,0),"-")</f>
      </c>
      <c r="O37">
        <f>IF(O$12&gt;0,ROUNDUP($D37/O$12,0),"-")</f>
      </c>
      <c r="P37">
        <f>IF(P$12&gt;0,ROUNDUP($D37/P$12,0),"-")</f>
      </c>
      <c r="Q37">
        <f>IF(Q$12&gt;0,ROUNDUP($D37/Q$12,0),"-")</f>
      </c>
      <c r="R37">
        <f>IF(R$12&gt;0,ROUNDUP($D37/R$12,0),"-")</f>
      </c>
      <c r="S37">
        <f>IF(S$12&gt;0,ROUNDUP($D37/S$12,0),"-")</f>
      </c>
      <c r="T37">
        <f>IF(T$12&gt;0,ROUNDUP($D37/T$12,0),"-")</f>
      </c>
      <c r="U37">
        <f>IF(U$12&gt;0,ROUNDUP($D37/U$12,0),"-")</f>
      </c>
      <c r="V37">
        <f>IF(V$12&gt;0,ROUNDUP($D37/V$12,0),"-")</f>
      </c>
      <c r="W37">
        <f>IF(W$12&gt;0,ROUNDUP($D37/W$12,0),"-")</f>
      </c>
      <c r="X37">
        <f>IF(X$12&gt;0,ROUNDUP($D37/X$12,0),"-")</f>
      </c>
      <c r="Y37">
        <f>IF(Y$12&gt;0,ROUNDUP($D37/Y$12,0),"-")</f>
      </c>
      <c r="Z37">
        <f>IF(Z$12&gt;0,ROUNDUP($D37/Z$12,0),"-")</f>
      </c>
      <c r="AA37">
        <f>IF(AA$12&gt;0,ROUNDUP($D37/AA$12,0),"-")</f>
      </c>
      <c r="AB37">
        <f>IF(AB$12&gt;0,ROUNDUP($D37/AB$12,0),"-")</f>
      </c>
      <c r="AC37">
        <f>IF(AC$12&gt;0,ROUNDUP($D37/AC$12,0),"-")</f>
      </c>
      <c r="AD37">
        <f>IF(AD$12&gt;0,ROUNDUP($D37/AD$12,0),"-")</f>
      </c>
      <c r="AE37">
        <f>IF(AE$12&gt;0,ROUNDUP($D37/AE$12,0),"-")</f>
      </c>
      <c r="AF37">
        <f>IF(AF$12&gt;0,ROUNDUP($D37/AF$12,0),"-")</f>
      </c>
      <c r="AG37">
        <f>IF(AG$12&gt;0,ROUNDUP($D37/AG$12,0),"-")</f>
      </c>
      <c r="AH37">
        <f>IF(AH$12&gt;0,ROUNDUP($D37/AH$12,0),"-")</f>
      </c>
      <c r="AI37">
        <f>IF(AI$12&gt;0,ROUNDUP($D37/AI$12,0),"-")</f>
      </c>
      <c r="AJ37">
        <f>IF(AJ$12&gt;0,ROUNDUP($D37/AJ$12,0),"-")</f>
      </c>
      <c r="AK37">
        <f>IF(AK$12&gt;0,ROUNDUP($D37/AK$12,0),"-")</f>
      </c>
      <c r="AL37">
        <f>IF(AL$12&gt;0,ROUNDUP($D37/AL$12,0),"-")</f>
      </c>
      <c r="AM37">
        <f>IF(AM$12&gt;0,ROUNDUP($D37/AM$12,0),"-")</f>
      </c>
      <c r="AN37">
        <f>IF(AN$12&gt;0,ROUNDUP($D37/AN$12,0),"-")</f>
      </c>
      <c r="AO37">
        <f>IF(AO$12&gt;0,ROUNDUP($D37/AO$12,0),"-")</f>
      </c>
      <c r="AP37">
        <f>IF(AP$12&gt;0,ROUNDUP($D37/AP$12,0),"-")</f>
      </c>
      <c r="AQ37">
        <f>IF(AQ$12&gt;0,ROUNDUP($D37/AQ$12,0),"-")</f>
      </c>
      <c r="AR37">
        <f>IF(AR$12&gt;0,ROUNDUP($D37/AR$12,0),"-")</f>
      </c>
      <c r="AS37">
        <f>IF(AS$12&gt;0,ROUNDUP($D37/AS$12,0),"-")</f>
      </c>
      <c r="AT37">
        <f>IF(AT$12&gt;0,ROUNDUP($D37/AT$12,0),"-")</f>
      </c>
      <c r="AU37">
        <f>IF(AU$12&gt;0,ROUNDUP($D37/AU$12,0),"-")</f>
      </c>
      <c r="AV37">
        <f>IF(AV$12&gt;0,ROUNDUP($D37/AV$12,0),"-")</f>
      </c>
      <c r="AW37">
        <f>IF(AW$12&gt;0,ROUNDUP($D37/AW$12,0),"-")</f>
      </c>
      <c r="AX37">
        <f>IF(AX$12&gt;0,ROUNDUP($D37/AX$12,0),"-")</f>
      </c>
      <c r="AY37">
        <f>IF(AY$12&gt;0,ROUNDUP($D37/AY$12,0),"-")</f>
      </c>
      <c r="AZ37">
        <f>IF(AZ$12&gt;0,ROUNDUP($D37/AZ$12,0),"-")</f>
      </c>
      <c r="BA37">
        <f>IF(BA$12&gt;0,ROUNDUP($D37/BA$12,0),"-")</f>
      </c>
    </row>
    <row r="38" spans="1:53" x14ac:dyDescent="0.25">
      <c r="A38" t="s">
        <v>81</v>
      </c>
      <c r="B38">
        <f>INDEX(enemigos!$B$3:$B$500,MATCH($A38,enemigos!$A$3:$A$500,0))</f>
      </c>
      <c r="C38">
        <f>INDEX(enemigos!$C$3:$C$500,MATCH($A38,enemigos!$A$3:$A$500,0))</f>
      </c>
      <c r="D38">
        <f>IF($C38="bicho",INDEX(enemigos!$D$3:$D$500,MATCH($A38,enemigos!$A$3:$A$500,0))*INDEX(ritmo!$B$3:$B$500,MATCH("dureza_vida",ritmo!$A$3:$A$500,0))*(1+$B$4/INDEX(ritmo!$B$3:$B$500,MATCH("vida_escala_seg",ritmo!$A$3:$A$500,0))),INDEX(enemigos!$D$3:$D$500,MATCH($A38,enemigos!$A$3:$A$500,0)))</f>
      </c>
      <c r="E38">
        <f>IF(E$12&gt;0,ROUNDUP($D38/E$12,0),"-")</f>
      </c>
      <c r="F38">
        <f>IF(F$12&gt;0,ROUNDUP($D38/F$12,0),"-")</f>
      </c>
      <c r="G38">
        <f>IF(G$12&gt;0,ROUNDUP($D38/G$12,0),"-")</f>
      </c>
      <c r="H38">
        <f>IF(H$12&gt;0,ROUNDUP($D38/H$12,0),"-")</f>
      </c>
      <c r="I38">
        <f>IF(I$12&gt;0,ROUNDUP($D38/I$12,0),"-")</f>
      </c>
      <c r="J38">
        <f>IF(J$12&gt;0,ROUNDUP($D38/J$12,0),"-")</f>
      </c>
      <c r="K38">
        <f>IF(K$12&gt;0,ROUNDUP($D38/K$12,0),"-")</f>
      </c>
      <c r="L38">
        <f>IF(L$12&gt;0,ROUNDUP($D38/L$12,0),"-")</f>
      </c>
      <c r="M38">
        <f>IF(M$12&gt;0,ROUNDUP($D38/M$12,0),"-")</f>
      </c>
      <c r="N38">
        <f>IF(N$12&gt;0,ROUNDUP($D38/N$12,0),"-")</f>
      </c>
      <c r="O38">
        <f>IF(O$12&gt;0,ROUNDUP($D38/O$12,0),"-")</f>
      </c>
      <c r="P38">
        <f>IF(P$12&gt;0,ROUNDUP($D38/P$12,0),"-")</f>
      </c>
      <c r="Q38">
        <f>IF(Q$12&gt;0,ROUNDUP($D38/Q$12,0),"-")</f>
      </c>
      <c r="R38">
        <f>IF(R$12&gt;0,ROUNDUP($D38/R$12,0),"-")</f>
      </c>
      <c r="S38">
        <f>IF(S$12&gt;0,ROUNDUP($D38/S$12,0),"-")</f>
      </c>
      <c r="T38">
        <f>IF(T$12&gt;0,ROUNDUP($D38/T$12,0),"-")</f>
      </c>
      <c r="U38">
        <f>IF(U$12&gt;0,ROUNDUP($D38/U$12,0),"-")</f>
      </c>
      <c r="V38">
        <f>IF(V$12&gt;0,ROUNDUP($D38/V$12,0),"-")</f>
      </c>
      <c r="W38">
        <f>IF(W$12&gt;0,ROUNDUP($D38/W$12,0),"-")</f>
      </c>
      <c r="X38">
        <f>IF(X$12&gt;0,ROUNDUP($D38/X$12,0),"-")</f>
      </c>
      <c r="Y38">
        <f>IF(Y$12&gt;0,ROUNDUP($D38/Y$12,0),"-")</f>
      </c>
      <c r="Z38">
        <f>IF(Z$12&gt;0,ROUNDUP($D38/Z$12,0),"-")</f>
      </c>
      <c r="AA38">
        <f>IF(AA$12&gt;0,ROUNDUP($D38/AA$12,0),"-")</f>
      </c>
      <c r="AB38">
        <f>IF(AB$12&gt;0,ROUNDUP($D38/AB$12,0),"-")</f>
      </c>
      <c r="AC38">
        <f>IF(AC$12&gt;0,ROUNDUP($D38/AC$12,0),"-")</f>
      </c>
      <c r="AD38">
        <f>IF(AD$12&gt;0,ROUNDUP($D38/AD$12,0),"-")</f>
      </c>
      <c r="AE38">
        <f>IF(AE$12&gt;0,ROUNDUP($D38/AE$12,0),"-")</f>
      </c>
      <c r="AF38">
        <f>IF(AF$12&gt;0,ROUNDUP($D38/AF$12,0),"-")</f>
      </c>
      <c r="AG38">
        <f>IF(AG$12&gt;0,ROUNDUP($D38/AG$12,0),"-")</f>
      </c>
      <c r="AH38">
        <f>IF(AH$12&gt;0,ROUNDUP($D38/AH$12,0),"-")</f>
      </c>
      <c r="AI38">
        <f>IF(AI$12&gt;0,ROUNDUP($D38/AI$12,0),"-")</f>
      </c>
      <c r="AJ38">
        <f>IF(AJ$12&gt;0,ROUNDUP($D38/AJ$12,0),"-")</f>
      </c>
      <c r="AK38">
        <f>IF(AK$12&gt;0,ROUNDUP($D38/AK$12,0),"-")</f>
      </c>
      <c r="AL38">
        <f>IF(AL$12&gt;0,ROUNDUP($D38/AL$12,0),"-")</f>
      </c>
      <c r="AM38">
        <f>IF(AM$12&gt;0,ROUNDUP($D38/AM$12,0),"-")</f>
      </c>
      <c r="AN38">
        <f>IF(AN$12&gt;0,ROUNDUP($D38/AN$12,0),"-")</f>
      </c>
      <c r="AO38">
        <f>IF(AO$12&gt;0,ROUNDUP($D38/AO$12,0),"-")</f>
      </c>
      <c r="AP38">
        <f>IF(AP$12&gt;0,ROUNDUP($D38/AP$12,0),"-")</f>
      </c>
      <c r="AQ38">
        <f>IF(AQ$12&gt;0,ROUNDUP($D38/AQ$12,0),"-")</f>
      </c>
      <c r="AR38">
        <f>IF(AR$12&gt;0,ROUNDUP($D38/AR$12,0),"-")</f>
      </c>
      <c r="AS38">
        <f>IF(AS$12&gt;0,ROUNDUP($D38/AS$12,0),"-")</f>
      </c>
      <c r="AT38">
        <f>IF(AT$12&gt;0,ROUNDUP($D38/AT$12,0),"-")</f>
      </c>
      <c r="AU38">
        <f>IF(AU$12&gt;0,ROUNDUP($D38/AU$12,0),"-")</f>
      </c>
      <c r="AV38">
        <f>IF(AV$12&gt;0,ROUNDUP($D38/AV$12,0),"-")</f>
      </c>
      <c r="AW38">
        <f>IF(AW$12&gt;0,ROUNDUP($D38/AW$12,0),"-")</f>
      </c>
      <c r="AX38">
        <f>IF(AX$12&gt;0,ROUNDUP($D38/AX$12,0),"-")</f>
      </c>
      <c r="AY38">
        <f>IF(AY$12&gt;0,ROUNDUP($D38/AY$12,0),"-")</f>
      </c>
      <c r="AZ38">
        <f>IF(AZ$12&gt;0,ROUNDUP($D38/AZ$12,0),"-")</f>
      </c>
      <c r="BA38">
        <f>IF(BA$12&gt;0,ROUNDUP($D38/BA$12,0),"-")</f>
      </c>
    </row>
    <row r="39" spans="1:53" x14ac:dyDescent="0.25">
      <c r="A39" t="s">
        <v>83</v>
      </c>
      <c r="B39">
        <f>INDEX(enemigos!$B$3:$B$500,MATCH($A39,enemigos!$A$3:$A$500,0))</f>
      </c>
      <c r="C39">
        <f>INDEX(enemigos!$C$3:$C$500,MATCH($A39,enemigos!$A$3:$A$500,0))</f>
      </c>
      <c r="D39">
        <f>IF($C39="bicho",INDEX(enemigos!$D$3:$D$500,MATCH($A39,enemigos!$A$3:$A$500,0))*INDEX(ritmo!$B$3:$B$500,MATCH("dureza_vida",ritmo!$A$3:$A$500,0))*(1+$B$4/INDEX(ritmo!$B$3:$B$500,MATCH("vida_escala_seg",ritmo!$A$3:$A$500,0))),INDEX(enemigos!$D$3:$D$500,MATCH($A39,enemigos!$A$3:$A$500,0)))</f>
      </c>
      <c r="E39">
        <f>IF(E$12&gt;0,ROUNDUP($D39/E$12,0),"-")</f>
      </c>
      <c r="F39">
        <f>IF(F$12&gt;0,ROUNDUP($D39/F$12,0),"-")</f>
      </c>
      <c r="G39">
        <f>IF(G$12&gt;0,ROUNDUP($D39/G$12,0),"-")</f>
      </c>
      <c r="H39">
        <f>IF(H$12&gt;0,ROUNDUP($D39/H$12,0),"-")</f>
      </c>
      <c r="I39">
        <f>IF(I$12&gt;0,ROUNDUP($D39/I$12,0),"-")</f>
      </c>
      <c r="J39">
        <f>IF(J$12&gt;0,ROUNDUP($D39/J$12,0),"-")</f>
      </c>
      <c r="K39">
        <f>IF(K$12&gt;0,ROUNDUP($D39/K$12,0),"-")</f>
      </c>
      <c r="L39">
        <f>IF(L$12&gt;0,ROUNDUP($D39/L$12,0),"-")</f>
      </c>
      <c r="M39">
        <f>IF(M$12&gt;0,ROUNDUP($D39/M$12,0),"-")</f>
      </c>
      <c r="N39">
        <f>IF(N$12&gt;0,ROUNDUP($D39/N$12,0),"-")</f>
      </c>
      <c r="O39">
        <f>IF(O$12&gt;0,ROUNDUP($D39/O$12,0),"-")</f>
      </c>
      <c r="P39">
        <f>IF(P$12&gt;0,ROUNDUP($D39/P$12,0),"-")</f>
      </c>
      <c r="Q39">
        <f>IF(Q$12&gt;0,ROUNDUP($D39/Q$12,0),"-")</f>
      </c>
      <c r="R39">
        <f>IF(R$12&gt;0,ROUNDUP($D39/R$12,0),"-")</f>
      </c>
      <c r="S39">
        <f>IF(S$12&gt;0,ROUNDUP($D39/S$12,0),"-")</f>
      </c>
      <c r="T39">
        <f>IF(T$12&gt;0,ROUNDUP($D39/T$12,0),"-")</f>
      </c>
      <c r="U39">
        <f>IF(U$12&gt;0,ROUNDUP($D39/U$12,0),"-")</f>
      </c>
      <c r="V39">
        <f>IF(V$12&gt;0,ROUNDUP($D39/V$12,0),"-")</f>
      </c>
      <c r="W39">
        <f>IF(W$12&gt;0,ROUNDUP($D39/W$12,0),"-")</f>
      </c>
      <c r="X39">
        <f>IF(X$12&gt;0,ROUNDUP($D39/X$12,0),"-")</f>
      </c>
      <c r="Y39">
        <f>IF(Y$12&gt;0,ROUNDUP($D39/Y$12,0),"-")</f>
      </c>
      <c r="Z39">
        <f>IF(Z$12&gt;0,ROUNDUP($D39/Z$12,0),"-")</f>
      </c>
      <c r="AA39">
        <f>IF(AA$12&gt;0,ROUNDUP($D39/AA$12,0),"-")</f>
      </c>
      <c r="AB39">
        <f>IF(AB$12&gt;0,ROUNDUP($D39/AB$12,0),"-")</f>
      </c>
      <c r="AC39">
        <f>IF(AC$12&gt;0,ROUNDUP($D39/AC$12,0),"-")</f>
      </c>
      <c r="AD39">
        <f>IF(AD$12&gt;0,ROUNDUP($D39/AD$12,0),"-")</f>
      </c>
      <c r="AE39">
        <f>IF(AE$12&gt;0,ROUNDUP($D39/AE$12,0),"-")</f>
      </c>
      <c r="AF39">
        <f>IF(AF$12&gt;0,ROUNDUP($D39/AF$12,0),"-")</f>
      </c>
      <c r="AG39">
        <f>IF(AG$12&gt;0,ROUNDUP($D39/AG$12,0),"-")</f>
      </c>
      <c r="AH39">
        <f>IF(AH$12&gt;0,ROUNDUP($D39/AH$12,0),"-")</f>
      </c>
      <c r="AI39">
        <f>IF(AI$12&gt;0,ROUNDUP($D39/AI$12,0),"-")</f>
      </c>
      <c r="AJ39">
        <f>IF(AJ$12&gt;0,ROUNDUP($D39/AJ$12,0),"-")</f>
      </c>
      <c r="AK39">
        <f>IF(AK$12&gt;0,ROUNDUP($D39/AK$12,0),"-")</f>
      </c>
      <c r="AL39">
        <f>IF(AL$12&gt;0,ROUNDUP($D39/AL$12,0),"-")</f>
      </c>
      <c r="AM39">
        <f>IF(AM$12&gt;0,ROUNDUP($D39/AM$12,0),"-")</f>
      </c>
      <c r="AN39">
        <f>IF(AN$12&gt;0,ROUNDUP($D39/AN$12,0),"-")</f>
      </c>
      <c r="AO39">
        <f>IF(AO$12&gt;0,ROUNDUP($D39/AO$12,0),"-")</f>
      </c>
      <c r="AP39">
        <f>IF(AP$12&gt;0,ROUNDUP($D39/AP$12,0),"-")</f>
      </c>
      <c r="AQ39">
        <f>IF(AQ$12&gt;0,ROUNDUP($D39/AQ$12,0),"-")</f>
      </c>
      <c r="AR39">
        <f>IF(AR$12&gt;0,ROUNDUP($D39/AR$12,0),"-")</f>
      </c>
      <c r="AS39">
        <f>IF(AS$12&gt;0,ROUNDUP($D39/AS$12,0),"-")</f>
      </c>
      <c r="AT39">
        <f>IF(AT$12&gt;0,ROUNDUP($D39/AT$12,0),"-")</f>
      </c>
      <c r="AU39">
        <f>IF(AU$12&gt;0,ROUNDUP($D39/AU$12,0),"-")</f>
      </c>
      <c r="AV39">
        <f>IF(AV$12&gt;0,ROUNDUP($D39/AV$12,0),"-")</f>
      </c>
      <c r="AW39">
        <f>IF(AW$12&gt;0,ROUNDUP($D39/AW$12,0),"-")</f>
      </c>
      <c r="AX39">
        <f>IF(AX$12&gt;0,ROUNDUP($D39/AX$12,0),"-")</f>
      </c>
      <c r="AY39">
        <f>IF(AY$12&gt;0,ROUNDUP($D39/AY$12,0),"-")</f>
      </c>
      <c r="AZ39">
        <f>IF(AZ$12&gt;0,ROUNDUP($D39/AZ$12,0),"-")</f>
      </c>
      <c r="BA39">
        <f>IF(BA$12&gt;0,ROUNDUP($D39/BA$12,0),"-")</f>
      </c>
    </row>
    <row r="40" spans="1:53" x14ac:dyDescent="0.25">
      <c r="A40" t="s">
        <v>85</v>
      </c>
      <c r="B40">
        <f>INDEX(enemigos!$B$3:$B$500,MATCH($A40,enemigos!$A$3:$A$500,0))</f>
      </c>
      <c r="C40">
        <f>INDEX(enemigos!$C$3:$C$500,MATCH($A40,enemigos!$A$3:$A$500,0))</f>
      </c>
      <c r="D40">
        <f>IF($C40="bicho",INDEX(enemigos!$D$3:$D$500,MATCH($A40,enemigos!$A$3:$A$500,0))*INDEX(ritmo!$B$3:$B$500,MATCH("dureza_vida",ritmo!$A$3:$A$500,0))*(1+$B$4/INDEX(ritmo!$B$3:$B$500,MATCH("vida_escala_seg",ritmo!$A$3:$A$500,0))),INDEX(enemigos!$D$3:$D$500,MATCH($A40,enemigos!$A$3:$A$500,0)))</f>
      </c>
      <c r="E40">
        <f>IF(E$12&gt;0,ROUNDUP($D40/E$12,0),"-")</f>
      </c>
      <c r="F40">
        <f>IF(F$12&gt;0,ROUNDUP($D40/F$12,0),"-")</f>
      </c>
      <c r="G40">
        <f>IF(G$12&gt;0,ROUNDUP($D40/G$12,0),"-")</f>
      </c>
      <c r="H40">
        <f>IF(H$12&gt;0,ROUNDUP($D40/H$12,0),"-")</f>
      </c>
      <c r="I40">
        <f>IF(I$12&gt;0,ROUNDUP($D40/I$12,0),"-")</f>
      </c>
      <c r="J40">
        <f>IF(J$12&gt;0,ROUNDUP($D40/J$12,0),"-")</f>
      </c>
      <c r="K40">
        <f>IF(K$12&gt;0,ROUNDUP($D40/K$12,0),"-")</f>
      </c>
      <c r="L40">
        <f>IF(L$12&gt;0,ROUNDUP($D40/L$12,0),"-")</f>
      </c>
      <c r="M40">
        <f>IF(M$12&gt;0,ROUNDUP($D40/M$12,0),"-")</f>
      </c>
      <c r="N40">
        <f>IF(N$12&gt;0,ROUNDUP($D40/N$12,0),"-")</f>
      </c>
      <c r="O40">
        <f>IF(O$12&gt;0,ROUNDUP($D40/O$12,0),"-")</f>
      </c>
      <c r="P40">
        <f>IF(P$12&gt;0,ROUNDUP($D40/P$12,0),"-")</f>
      </c>
      <c r="Q40">
        <f>IF(Q$12&gt;0,ROUNDUP($D40/Q$12,0),"-")</f>
      </c>
      <c r="R40">
        <f>IF(R$12&gt;0,ROUNDUP($D40/R$12,0),"-")</f>
      </c>
      <c r="S40">
        <f>IF(S$12&gt;0,ROUNDUP($D40/S$12,0),"-")</f>
      </c>
      <c r="T40">
        <f>IF(T$12&gt;0,ROUNDUP($D40/T$12,0),"-")</f>
      </c>
      <c r="U40">
        <f>IF(U$12&gt;0,ROUNDUP($D40/U$12,0),"-")</f>
      </c>
      <c r="V40">
        <f>IF(V$12&gt;0,ROUNDUP($D40/V$12,0),"-")</f>
      </c>
      <c r="W40">
        <f>IF(W$12&gt;0,ROUNDUP($D40/W$12,0),"-")</f>
      </c>
      <c r="X40">
        <f>IF(X$12&gt;0,ROUNDUP($D40/X$12,0),"-")</f>
      </c>
      <c r="Y40">
        <f>IF(Y$12&gt;0,ROUNDUP($D40/Y$12,0),"-")</f>
      </c>
      <c r="Z40">
        <f>IF(Z$12&gt;0,ROUNDUP($D40/Z$12,0),"-")</f>
      </c>
      <c r="AA40">
        <f>IF(AA$12&gt;0,ROUNDUP($D40/AA$12,0),"-")</f>
      </c>
      <c r="AB40">
        <f>IF(AB$12&gt;0,ROUNDUP($D40/AB$12,0),"-")</f>
      </c>
      <c r="AC40">
        <f>IF(AC$12&gt;0,ROUNDUP($D40/AC$12,0),"-")</f>
      </c>
      <c r="AD40">
        <f>IF(AD$12&gt;0,ROUNDUP($D40/AD$12,0),"-")</f>
      </c>
      <c r="AE40">
        <f>IF(AE$12&gt;0,ROUNDUP($D40/AE$12,0),"-")</f>
      </c>
      <c r="AF40">
        <f>IF(AF$12&gt;0,ROUNDUP($D40/AF$12,0),"-")</f>
      </c>
      <c r="AG40">
        <f>IF(AG$12&gt;0,ROUNDUP($D40/AG$12,0),"-")</f>
      </c>
      <c r="AH40">
        <f>IF(AH$12&gt;0,ROUNDUP($D40/AH$12,0),"-")</f>
      </c>
      <c r="AI40">
        <f>IF(AI$12&gt;0,ROUNDUP($D40/AI$12,0),"-")</f>
      </c>
      <c r="AJ40">
        <f>IF(AJ$12&gt;0,ROUNDUP($D40/AJ$12,0),"-")</f>
      </c>
      <c r="AK40">
        <f>IF(AK$12&gt;0,ROUNDUP($D40/AK$12,0),"-")</f>
      </c>
      <c r="AL40">
        <f>IF(AL$12&gt;0,ROUNDUP($D40/AL$12,0),"-")</f>
      </c>
      <c r="AM40">
        <f>IF(AM$12&gt;0,ROUNDUP($D40/AM$12,0),"-")</f>
      </c>
      <c r="AN40">
        <f>IF(AN$12&gt;0,ROUNDUP($D40/AN$12,0),"-")</f>
      </c>
      <c r="AO40">
        <f>IF(AO$12&gt;0,ROUNDUP($D40/AO$12,0),"-")</f>
      </c>
      <c r="AP40">
        <f>IF(AP$12&gt;0,ROUNDUP($D40/AP$12,0),"-")</f>
      </c>
      <c r="AQ40">
        <f>IF(AQ$12&gt;0,ROUNDUP($D40/AQ$12,0),"-")</f>
      </c>
      <c r="AR40">
        <f>IF(AR$12&gt;0,ROUNDUP($D40/AR$12,0),"-")</f>
      </c>
      <c r="AS40">
        <f>IF(AS$12&gt;0,ROUNDUP($D40/AS$12,0),"-")</f>
      </c>
      <c r="AT40">
        <f>IF(AT$12&gt;0,ROUNDUP($D40/AT$12,0),"-")</f>
      </c>
      <c r="AU40">
        <f>IF(AU$12&gt;0,ROUNDUP($D40/AU$12,0),"-")</f>
      </c>
      <c r="AV40">
        <f>IF(AV$12&gt;0,ROUNDUP($D40/AV$12,0),"-")</f>
      </c>
      <c r="AW40">
        <f>IF(AW$12&gt;0,ROUNDUP($D40/AW$12,0),"-")</f>
      </c>
      <c r="AX40">
        <f>IF(AX$12&gt;0,ROUNDUP($D40/AX$12,0),"-")</f>
      </c>
      <c r="AY40">
        <f>IF(AY$12&gt;0,ROUNDUP($D40/AY$12,0),"-")</f>
      </c>
      <c r="AZ40">
        <f>IF(AZ$12&gt;0,ROUNDUP($D40/AZ$12,0),"-")</f>
      </c>
      <c r="BA40">
        <f>IF(BA$12&gt;0,ROUNDUP($D40/BA$12,0),"-")</f>
      </c>
    </row>
    <row r="41" spans="1:53" x14ac:dyDescent="0.25">
      <c r="A41" t="s">
        <v>87</v>
      </c>
      <c r="B41">
        <f>INDEX(enemigos!$B$3:$B$500,MATCH($A41,enemigos!$A$3:$A$500,0))</f>
      </c>
      <c r="C41">
        <f>INDEX(enemigos!$C$3:$C$500,MATCH($A41,enemigos!$A$3:$A$500,0))</f>
      </c>
      <c r="D41">
        <f>IF($C41="bicho",INDEX(enemigos!$D$3:$D$500,MATCH($A41,enemigos!$A$3:$A$500,0))*INDEX(ritmo!$B$3:$B$500,MATCH("dureza_vida",ritmo!$A$3:$A$500,0))*(1+$B$4/INDEX(ritmo!$B$3:$B$500,MATCH("vida_escala_seg",ritmo!$A$3:$A$500,0))),INDEX(enemigos!$D$3:$D$500,MATCH($A41,enemigos!$A$3:$A$500,0)))</f>
      </c>
      <c r="E41">
        <f>IF(E$12&gt;0,ROUNDUP($D41/E$12,0),"-")</f>
      </c>
      <c r="F41">
        <f>IF(F$12&gt;0,ROUNDUP($D41/F$12,0),"-")</f>
      </c>
      <c r="G41">
        <f>IF(G$12&gt;0,ROUNDUP($D41/G$12,0),"-")</f>
      </c>
      <c r="H41">
        <f>IF(H$12&gt;0,ROUNDUP($D41/H$12,0),"-")</f>
      </c>
      <c r="I41">
        <f>IF(I$12&gt;0,ROUNDUP($D41/I$12,0),"-")</f>
      </c>
      <c r="J41">
        <f>IF(J$12&gt;0,ROUNDUP($D41/J$12,0),"-")</f>
      </c>
      <c r="K41">
        <f>IF(K$12&gt;0,ROUNDUP($D41/K$12,0),"-")</f>
      </c>
      <c r="L41">
        <f>IF(L$12&gt;0,ROUNDUP($D41/L$12,0),"-")</f>
      </c>
      <c r="M41">
        <f>IF(M$12&gt;0,ROUNDUP($D41/M$12,0),"-")</f>
      </c>
      <c r="N41">
        <f>IF(N$12&gt;0,ROUNDUP($D41/N$12,0),"-")</f>
      </c>
      <c r="O41">
        <f>IF(O$12&gt;0,ROUNDUP($D41/O$12,0),"-")</f>
      </c>
      <c r="P41">
        <f>IF(P$12&gt;0,ROUNDUP($D41/P$12,0),"-")</f>
      </c>
      <c r="Q41">
        <f>IF(Q$12&gt;0,ROUNDUP($D41/Q$12,0),"-")</f>
      </c>
      <c r="R41">
        <f>IF(R$12&gt;0,ROUNDUP($D41/R$12,0),"-")</f>
      </c>
      <c r="S41">
        <f>IF(S$12&gt;0,ROUNDUP($D41/S$12,0),"-")</f>
      </c>
      <c r="T41">
        <f>IF(T$12&gt;0,ROUNDUP($D41/T$12,0),"-")</f>
      </c>
      <c r="U41">
        <f>IF(U$12&gt;0,ROUNDUP($D41/U$12,0),"-")</f>
      </c>
      <c r="V41">
        <f>IF(V$12&gt;0,ROUNDUP($D41/V$12,0),"-")</f>
      </c>
      <c r="W41">
        <f>IF(W$12&gt;0,ROUNDUP($D41/W$12,0),"-")</f>
      </c>
      <c r="X41">
        <f>IF(X$12&gt;0,ROUNDUP($D41/X$12,0),"-")</f>
      </c>
      <c r="Y41">
        <f>IF(Y$12&gt;0,ROUNDUP($D41/Y$12,0),"-")</f>
      </c>
      <c r="Z41">
        <f>IF(Z$12&gt;0,ROUNDUP($D41/Z$12,0),"-")</f>
      </c>
      <c r="AA41">
        <f>IF(AA$12&gt;0,ROUNDUP($D41/AA$12,0),"-")</f>
      </c>
      <c r="AB41">
        <f>IF(AB$12&gt;0,ROUNDUP($D41/AB$12,0),"-")</f>
      </c>
      <c r="AC41">
        <f>IF(AC$12&gt;0,ROUNDUP($D41/AC$12,0),"-")</f>
      </c>
      <c r="AD41">
        <f>IF(AD$12&gt;0,ROUNDUP($D41/AD$12,0),"-")</f>
      </c>
      <c r="AE41">
        <f>IF(AE$12&gt;0,ROUNDUP($D41/AE$12,0),"-")</f>
      </c>
      <c r="AF41">
        <f>IF(AF$12&gt;0,ROUNDUP($D41/AF$12,0),"-")</f>
      </c>
      <c r="AG41">
        <f>IF(AG$12&gt;0,ROUNDUP($D41/AG$12,0),"-")</f>
      </c>
      <c r="AH41">
        <f>IF(AH$12&gt;0,ROUNDUP($D41/AH$12,0),"-")</f>
      </c>
      <c r="AI41">
        <f>IF(AI$12&gt;0,ROUNDUP($D41/AI$12,0),"-")</f>
      </c>
      <c r="AJ41">
        <f>IF(AJ$12&gt;0,ROUNDUP($D41/AJ$12,0),"-")</f>
      </c>
      <c r="AK41">
        <f>IF(AK$12&gt;0,ROUNDUP($D41/AK$12,0),"-")</f>
      </c>
      <c r="AL41">
        <f>IF(AL$12&gt;0,ROUNDUP($D41/AL$12,0),"-")</f>
      </c>
      <c r="AM41">
        <f>IF(AM$12&gt;0,ROUNDUP($D41/AM$12,0),"-")</f>
      </c>
      <c r="AN41">
        <f>IF(AN$12&gt;0,ROUNDUP($D41/AN$12,0),"-")</f>
      </c>
      <c r="AO41">
        <f>IF(AO$12&gt;0,ROUNDUP($D41/AO$12,0),"-")</f>
      </c>
      <c r="AP41">
        <f>IF(AP$12&gt;0,ROUNDUP($D41/AP$12,0),"-")</f>
      </c>
      <c r="AQ41">
        <f>IF(AQ$12&gt;0,ROUNDUP($D41/AQ$12,0),"-")</f>
      </c>
      <c r="AR41">
        <f>IF(AR$12&gt;0,ROUNDUP($D41/AR$12,0),"-")</f>
      </c>
      <c r="AS41">
        <f>IF(AS$12&gt;0,ROUNDUP($D41/AS$12,0),"-")</f>
      </c>
      <c r="AT41">
        <f>IF(AT$12&gt;0,ROUNDUP($D41/AT$12,0),"-")</f>
      </c>
      <c r="AU41">
        <f>IF(AU$12&gt;0,ROUNDUP($D41/AU$12,0),"-")</f>
      </c>
      <c r="AV41">
        <f>IF(AV$12&gt;0,ROUNDUP($D41/AV$12,0),"-")</f>
      </c>
      <c r="AW41">
        <f>IF(AW$12&gt;0,ROUNDUP($D41/AW$12,0),"-")</f>
      </c>
      <c r="AX41">
        <f>IF(AX$12&gt;0,ROUNDUP($D41/AX$12,0),"-")</f>
      </c>
      <c r="AY41">
        <f>IF(AY$12&gt;0,ROUNDUP($D41/AY$12,0),"-")</f>
      </c>
      <c r="AZ41">
        <f>IF(AZ$12&gt;0,ROUNDUP($D41/AZ$12,0),"-")</f>
      </c>
      <c r="BA41">
        <f>IF(BA$12&gt;0,ROUNDUP($D41/BA$12,0),"-")</f>
      </c>
    </row>
    <row r="42" spans="1:53" x14ac:dyDescent="0.25">
      <c r="A42" t="s">
        <v>89</v>
      </c>
      <c r="B42">
        <f>INDEX(enemigos!$B$3:$B$500,MATCH($A42,enemigos!$A$3:$A$500,0))</f>
      </c>
      <c r="C42">
        <f>INDEX(enemigos!$C$3:$C$500,MATCH($A42,enemigos!$A$3:$A$500,0))</f>
      </c>
      <c r="D42">
        <f>IF($C42="bicho",INDEX(enemigos!$D$3:$D$500,MATCH($A42,enemigos!$A$3:$A$500,0))*INDEX(ritmo!$B$3:$B$500,MATCH("dureza_vida",ritmo!$A$3:$A$500,0))*(1+$B$4/INDEX(ritmo!$B$3:$B$500,MATCH("vida_escala_seg",ritmo!$A$3:$A$500,0))),INDEX(enemigos!$D$3:$D$500,MATCH($A42,enemigos!$A$3:$A$500,0)))</f>
      </c>
      <c r="E42">
        <f>IF(E$12&gt;0,ROUNDUP($D42/E$12,0),"-")</f>
      </c>
      <c r="F42">
        <f>IF(F$12&gt;0,ROUNDUP($D42/F$12,0),"-")</f>
      </c>
      <c r="G42">
        <f>IF(G$12&gt;0,ROUNDUP($D42/G$12,0),"-")</f>
      </c>
      <c r="H42">
        <f>IF(H$12&gt;0,ROUNDUP($D42/H$12,0),"-")</f>
      </c>
      <c r="I42">
        <f>IF(I$12&gt;0,ROUNDUP($D42/I$12,0),"-")</f>
      </c>
      <c r="J42">
        <f>IF(J$12&gt;0,ROUNDUP($D42/J$12,0),"-")</f>
      </c>
      <c r="K42">
        <f>IF(K$12&gt;0,ROUNDUP($D42/K$12,0),"-")</f>
      </c>
      <c r="L42">
        <f>IF(L$12&gt;0,ROUNDUP($D42/L$12,0),"-")</f>
      </c>
      <c r="M42">
        <f>IF(M$12&gt;0,ROUNDUP($D42/M$12,0),"-")</f>
      </c>
      <c r="N42">
        <f>IF(N$12&gt;0,ROUNDUP($D42/N$12,0),"-")</f>
      </c>
      <c r="O42">
        <f>IF(O$12&gt;0,ROUNDUP($D42/O$12,0),"-")</f>
      </c>
      <c r="P42">
        <f>IF(P$12&gt;0,ROUNDUP($D42/P$12,0),"-")</f>
      </c>
      <c r="Q42">
        <f>IF(Q$12&gt;0,ROUNDUP($D42/Q$12,0),"-")</f>
      </c>
      <c r="R42">
        <f>IF(R$12&gt;0,ROUNDUP($D42/R$12,0),"-")</f>
      </c>
      <c r="S42">
        <f>IF(S$12&gt;0,ROUNDUP($D42/S$12,0),"-")</f>
      </c>
      <c r="T42">
        <f>IF(T$12&gt;0,ROUNDUP($D42/T$12,0),"-")</f>
      </c>
      <c r="U42">
        <f>IF(U$12&gt;0,ROUNDUP($D42/U$12,0),"-")</f>
      </c>
      <c r="V42">
        <f>IF(V$12&gt;0,ROUNDUP($D42/V$12,0),"-")</f>
      </c>
      <c r="W42">
        <f>IF(W$12&gt;0,ROUNDUP($D42/W$12,0),"-")</f>
      </c>
      <c r="X42">
        <f>IF(X$12&gt;0,ROUNDUP($D42/X$12,0),"-")</f>
      </c>
      <c r="Y42">
        <f>IF(Y$12&gt;0,ROUNDUP($D42/Y$12,0),"-")</f>
      </c>
      <c r="Z42">
        <f>IF(Z$12&gt;0,ROUNDUP($D42/Z$12,0),"-")</f>
      </c>
      <c r="AA42">
        <f>IF(AA$12&gt;0,ROUNDUP($D42/AA$12,0),"-")</f>
      </c>
      <c r="AB42">
        <f>IF(AB$12&gt;0,ROUNDUP($D42/AB$12,0),"-")</f>
      </c>
      <c r="AC42">
        <f>IF(AC$12&gt;0,ROUNDUP($D42/AC$12,0),"-")</f>
      </c>
      <c r="AD42">
        <f>IF(AD$12&gt;0,ROUNDUP($D42/AD$12,0),"-")</f>
      </c>
      <c r="AE42">
        <f>IF(AE$12&gt;0,ROUNDUP($D42/AE$12,0),"-")</f>
      </c>
      <c r="AF42">
        <f>IF(AF$12&gt;0,ROUNDUP($D42/AF$12,0),"-")</f>
      </c>
      <c r="AG42">
        <f>IF(AG$12&gt;0,ROUNDUP($D42/AG$12,0),"-")</f>
      </c>
      <c r="AH42">
        <f>IF(AH$12&gt;0,ROUNDUP($D42/AH$12,0),"-")</f>
      </c>
      <c r="AI42">
        <f>IF(AI$12&gt;0,ROUNDUP($D42/AI$12,0),"-")</f>
      </c>
      <c r="AJ42">
        <f>IF(AJ$12&gt;0,ROUNDUP($D42/AJ$12,0),"-")</f>
      </c>
      <c r="AK42">
        <f>IF(AK$12&gt;0,ROUNDUP($D42/AK$12,0),"-")</f>
      </c>
      <c r="AL42">
        <f>IF(AL$12&gt;0,ROUNDUP($D42/AL$12,0),"-")</f>
      </c>
      <c r="AM42">
        <f>IF(AM$12&gt;0,ROUNDUP($D42/AM$12,0),"-")</f>
      </c>
      <c r="AN42">
        <f>IF(AN$12&gt;0,ROUNDUP($D42/AN$12,0),"-")</f>
      </c>
      <c r="AO42">
        <f>IF(AO$12&gt;0,ROUNDUP($D42/AO$12,0),"-")</f>
      </c>
      <c r="AP42">
        <f>IF(AP$12&gt;0,ROUNDUP($D42/AP$12,0),"-")</f>
      </c>
      <c r="AQ42">
        <f>IF(AQ$12&gt;0,ROUNDUP($D42/AQ$12,0),"-")</f>
      </c>
      <c r="AR42">
        <f>IF(AR$12&gt;0,ROUNDUP($D42/AR$12,0),"-")</f>
      </c>
      <c r="AS42">
        <f>IF(AS$12&gt;0,ROUNDUP($D42/AS$12,0),"-")</f>
      </c>
      <c r="AT42">
        <f>IF(AT$12&gt;0,ROUNDUP($D42/AT$12,0),"-")</f>
      </c>
      <c r="AU42">
        <f>IF(AU$12&gt;0,ROUNDUP($D42/AU$12,0),"-")</f>
      </c>
      <c r="AV42">
        <f>IF(AV$12&gt;0,ROUNDUP($D42/AV$12,0),"-")</f>
      </c>
      <c r="AW42">
        <f>IF(AW$12&gt;0,ROUNDUP($D42/AW$12,0),"-")</f>
      </c>
      <c r="AX42">
        <f>IF(AX$12&gt;0,ROUNDUP($D42/AX$12,0),"-")</f>
      </c>
      <c r="AY42">
        <f>IF(AY$12&gt;0,ROUNDUP($D42/AY$12,0),"-")</f>
      </c>
      <c r="AZ42">
        <f>IF(AZ$12&gt;0,ROUNDUP($D42/AZ$12,0),"-")</f>
      </c>
      <c r="BA42">
        <f>IF(BA$12&gt;0,ROUNDUP($D42/BA$12,0),"-")</f>
      </c>
    </row>
    <row r="43" spans="1:53" x14ac:dyDescent="0.25">
      <c r="A43" t="s">
        <v>91</v>
      </c>
      <c r="B43">
        <f>INDEX(enemigos!$B$3:$B$500,MATCH($A43,enemigos!$A$3:$A$500,0))</f>
      </c>
      <c r="C43">
        <f>INDEX(enemigos!$C$3:$C$500,MATCH($A43,enemigos!$A$3:$A$500,0))</f>
      </c>
      <c r="D43">
        <f>IF($C43="bicho",INDEX(enemigos!$D$3:$D$500,MATCH($A43,enemigos!$A$3:$A$500,0))*INDEX(ritmo!$B$3:$B$500,MATCH("dureza_vida",ritmo!$A$3:$A$500,0))*(1+$B$4/INDEX(ritmo!$B$3:$B$500,MATCH("vida_escala_seg",ritmo!$A$3:$A$500,0))),INDEX(enemigos!$D$3:$D$500,MATCH($A43,enemigos!$A$3:$A$500,0)))</f>
      </c>
      <c r="E43">
        <f>IF(E$12&gt;0,ROUNDUP($D43/E$12,0),"-")</f>
      </c>
      <c r="F43">
        <f>IF(F$12&gt;0,ROUNDUP($D43/F$12,0),"-")</f>
      </c>
      <c r="G43">
        <f>IF(G$12&gt;0,ROUNDUP($D43/G$12,0),"-")</f>
      </c>
      <c r="H43">
        <f>IF(H$12&gt;0,ROUNDUP($D43/H$12,0),"-")</f>
      </c>
      <c r="I43">
        <f>IF(I$12&gt;0,ROUNDUP($D43/I$12,0),"-")</f>
      </c>
      <c r="J43">
        <f>IF(J$12&gt;0,ROUNDUP($D43/J$12,0),"-")</f>
      </c>
      <c r="K43">
        <f>IF(K$12&gt;0,ROUNDUP($D43/K$12,0),"-")</f>
      </c>
      <c r="L43">
        <f>IF(L$12&gt;0,ROUNDUP($D43/L$12,0),"-")</f>
      </c>
      <c r="M43">
        <f>IF(M$12&gt;0,ROUNDUP($D43/M$12,0),"-")</f>
      </c>
      <c r="N43">
        <f>IF(N$12&gt;0,ROUNDUP($D43/N$12,0),"-")</f>
      </c>
      <c r="O43">
        <f>IF(O$12&gt;0,ROUNDUP($D43/O$12,0),"-")</f>
      </c>
      <c r="P43">
        <f>IF(P$12&gt;0,ROUNDUP($D43/P$12,0),"-")</f>
      </c>
      <c r="Q43">
        <f>IF(Q$12&gt;0,ROUNDUP($D43/Q$12,0),"-")</f>
      </c>
      <c r="R43">
        <f>IF(R$12&gt;0,ROUNDUP($D43/R$12,0),"-")</f>
      </c>
      <c r="S43">
        <f>IF(S$12&gt;0,ROUNDUP($D43/S$12,0),"-")</f>
      </c>
      <c r="T43">
        <f>IF(T$12&gt;0,ROUNDUP($D43/T$12,0),"-")</f>
      </c>
      <c r="U43">
        <f>IF(U$12&gt;0,ROUNDUP($D43/U$12,0),"-")</f>
      </c>
      <c r="V43">
        <f>IF(V$12&gt;0,ROUNDUP($D43/V$12,0),"-")</f>
      </c>
      <c r="W43">
        <f>IF(W$12&gt;0,ROUNDUP($D43/W$12,0),"-")</f>
      </c>
      <c r="X43">
        <f>IF(X$12&gt;0,ROUNDUP($D43/X$12,0),"-")</f>
      </c>
      <c r="Y43">
        <f>IF(Y$12&gt;0,ROUNDUP($D43/Y$12,0),"-")</f>
      </c>
      <c r="Z43">
        <f>IF(Z$12&gt;0,ROUNDUP($D43/Z$12,0),"-")</f>
      </c>
      <c r="AA43">
        <f>IF(AA$12&gt;0,ROUNDUP($D43/AA$12,0),"-")</f>
      </c>
      <c r="AB43">
        <f>IF(AB$12&gt;0,ROUNDUP($D43/AB$12,0),"-")</f>
      </c>
      <c r="AC43">
        <f>IF(AC$12&gt;0,ROUNDUP($D43/AC$12,0),"-")</f>
      </c>
      <c r="AD43">
        <f>IF(AD$12&gt;0,ROUNDUP($D43/AD$12,0),"-")</f>
      </c>
      <c r="AE43">
        <f>IF(AE$12&gt;0,ROUNDUP($D43/AE$12,0),"-")</f>
      </c>
      <c r="AF43">
        <f>IF(AF$12&gt;0,ROUNDUP($D43/AF$12,0),"-")</f>
      </c>
      <c r="AG43">
        <f>IF(AG$12&gt;0,ROUNDUP($D43/AG$12,0),"-")</f>
      </c>
      <c r="AH43">
        <f>IF(AH$12&gt;0,ROUNDUP($D43/AH$12,0),"-")</f>
      </c>
      <c r="AI43">
        <f>IF(AI$12&gt;0,ROUNDUP($D43/AI$12,0),"-")</f>
      </c>
      <c r="AJ43">
        <f>IF(AJ$12&gt;0,ROUNDUP($D43/AJ$12,0),"-")</f>
      </c>
      <c r="AK43">
        <f>IF(AK$12&gt;0,ROUNDUP($D43/AK$12,0),"-")</f>
      </c>
      <c r="AL43">
        <f>IF(AL$12&gt;0,ROUNDUP($D43/AL$12,0),"-")</f>
      </c>
      <c r="AM43">
        <f>IF(AM$12&gt;0,ROUNDUP($D43/AM$12,0),"-")</f>
      </c>
      <c r="AN43">
        <f>IF(AN$12&gt;0,ROUNDUP($D43/AN$12,0),"-")</f>
      </c>
      <c r="AO43">
        <f>IF(AO$12&gt;0,ROUNDUP($D43/AO$12,0),"-")</f>
      </c>
      <c r="AP43">
        <f>IF(AP$12&gt;0,ROUNDUP($D43/AP$12,0),"-")</f>
      </c>
      <c r="AQ43">
        <f>IF(AQ$12&gt;0,ROUNDUP($D43/AQ$12,0),"-")</f>
      </c>
      <c r="AR43">
        <f>IF(AR$12&gt;0,ROUNDUP($D43/AR$12,0),"-")</f>
      </c>
      <c r="AS43">
        <f>IF(AS$12&gt;0,ROUNDUP($D43/AS$12,0),"-")</f>
      </c>
      <c r="AT43">
        <f>IF(AT$12&gt;0,ROUNDUP($D43/AT$12,0),"-")</f>
      </c>
      <c r="AU43">
        <f>IF(AU$12&gt;0,ROUNDUP($D43/AU$12,0),"-")</f>
      </c>
      <c r="AV43">
        <f>IF(AV$12&gt;0,ROUNDUP($D43/AV$12,0),"-")</f>
      </c>
      <c r="AW43">
        <f>IF(AW$12&gt;0,ROUNDUP($D43/AW$12,0),"-")</f>
      </c>
      <c r="AX43">
        <f>IF(AX$12&gt;0,ROUNDUP($D43/AX$12,0),"-")</f>
      </c>
      <c r="AY43">
        <f>IF(AY$12&gt;0,ROUNDUP($D43/AY$12,0),"-")</f>
      </c>
      <c r="AZ43">
        <f>IF(AZ$12&gt;0,ROUNDUP($D43/AZ$12,0),"-")</f>
      </c>
      <c r="BA43">
        <f>IF(BA$12&gt;0,ROUNDUP($D43/BA$12,0),"-")</f>
      </c>
    </row>
    <row r="44" spans="1:53" x14ac:dyDescent="0.25">
      <c r="A44" t="s">
        <v>93</v>
      </c>
      <c r="B44">
        <f>INDEX(enemigos!$B$3:$B$500,MATCH($A44,enemigos!$A$3:$A$500,0))</f>
      </c>
      <c r="C44">
        <f>INDEX(enemigos!$C$3:$C$500,MATCH($A44,enemigos!$A$3:$A$500,0))</f>
      </c>
      <c r="D44">
        <f>IF($C44="bicho",INDEX(enemigos!$D$3:$D$500,MATCH($A44,enemigos!$A$3:$A$500,0))*INDEX(ritmo!$B$3:$B$500,MATCH("dureza_vida",ritmo!$A$3:$A$500,0))*(1+$B$4/INDEX(ritmo!$B$3:$B$500,MATCH("vida_escala_seg",ritmo!$A$3:$A$500,0))),INDEX(enemigos!$D$3:$D$500,MATCH($A44,enemigos!$A$3:$A$500,0)))</f>
      </c>
      <c r="E44">
        <f>IF(E$12&gt;0,ROUNDUP($D44/E$12,0),"-")</f>
      </c>
      <c r="F44">
        <f>IF(F$12&gt;0,ROUNDUP($D44/F$12,0),"-")</f>
      </c>
      <c r="G44">
        <f>IF(G$12&gt;0,ROUNDUP($D44/G$12,0),"-")</f>
      </c>
      <c r="H44">
        <f>IF(H$12&gt;0,ROUNDUP($D44/H$12,0),"-")</f>
      </c>
      <c r="I44">
        <f>IF(I$12&gt;0,ROUNDUP($D44/I$12,0),"-")</f>
      </c>
      <c r="J44">
        <f>IF(J$12&gt;0,ROUNDUP($D44/J$12,0),"-")</f>
      </c>
      <c r="K44">
        <f>IF(K$12&gt;0,ROUNDUP($D44/K$12,0),"-")</f>
      </c>
      <c r="L44">
        <f>IF(L$12&gt;0,ROUNDUP($D44/L$12,0),"-")</f>
      </c>
      <c r="M44">
        <f>IF(M$12&gt;0,ROUNDUP($D44/M$12,0),"-")</f>
      </c>
      <c r="N44">
        <f>IF(N$12&gt;0,ROUNDUP($D44/N$12,0),"-")</f>
      </c>
      <c r="O44">
        <f>IF(O$12&gt;0,ROUNDUP($D44/O$12,0),"-")</f>
      </c>
      <c r="P44">
        <f>IF(P$12&gt;0,ROUNDUP($D44/P$12,0),"-")</f>
      </c>
      <c r="Q44">
        <f>IF(Q$12&gt;0,ROUNDUP($D44/Q$12,0),"-")</f>
      </c>
      <c r="R44">
        <f>IF(R$12&gt;0,ROUNDUP($D44/R$12,0),"-")</f>
      </c>
      <c r="S44">
        <f>IF(S$12&gt;0,ROUNDUP($D44/S$12,0),"-")</f>
      </c>
      <c r="T44">
        <f>IF(T$12&gt;0,ROUNDUP($D44/T$12,0),"-")</f>
      </c>
      <c r="U44">
        <f>IF(U$12&gt;0,ROUNDUP($D44/U$12,0),"-")</f>
      </c>
      <c r="V44">
        <f>IF(V$12&gt;0,ROUNDUP($D44/V$12,0),"-")</f>
      </c>
      <c r="W44">
        <f>IF(W$12&gt;0,ROUNDUP($D44/W$12,0),"-")</f>
      </c>
      <c r="X44">
        <f>IF(X$12&gt;0,ROUNDUP($D44/X$12,0),"-")</f>
      </c>
      <c r="Y44">
        <f>IF(Y$12&gt;0,ROUNDUP($D44/Y$12,0),"-")</f>
      </c>
      <c r="Z44">
        <f>IF(Z$12&gt;0,ROUNDUP($D44/Z$12,0),"-")</f>
      </c>
      <c r="AA44">
        <f>IF(AA$12&gt;0,ROUNDUP($D44/AA$12,0),"-")</f>
      </c>
      <c r="AB44">
        <f>IF(AB$12&gt;0,ROUNDUP($D44/AB$12,0),"-")</f>
      </c>
      <c r="AC44">
        <f>IF(AC$12&gt;0,ROUNDUP($D44/AC$12,0),"-")</f>
      </c>
      <c r="AD44">
        <f>IF(AD$12&gt;0,ROUNDUP($D44/AD$12,0),"-")</f>
      </c>
      <c r="AE44">
        <f>IF(AE$12&gt;0,ROUNDUP($D44/AE$12,0),"-")</f>
      </c>
      <c r="AF44">
        <f>IF(AF$12&gt;0,ROUNDUP($D44/AF$12,0),"-")</f>
      </c>
      <c r="AG44">
        <f>IF(AG$12&gt;0,ROUNDUP($D44/AG$12,0),"-")</f>
      </c>
      <c r="AH44">
        <f>IF(AH$12&gt;0,ROUNDUP($D44/AH$12,0),"-")</f>
      </c>
      <c r="AI44">
        <f>IF(AI$12&gt;0,ROUNDUP($D44/AI$12,0),"-")</f>
      </c>
      <c r="AJ44">
        <f>IF(AJ$12&gt;0,ROUNDUP($D44/AJ$12,0),"-")</f>
      </c>
      <c r="AK44">
        <f>IF(AK$12&gt;0,ROUNDUP($D44/AK$12,0),"-")</f>
      </c>
      <c r="AL44">
        <f>IF(AL$12&gt;0,ROUNDUP($D44/AL$12,0),"-")</f>
      </c>
      <c r="AM44">
        <f>IF(AM$12&gt;0,ROUNDUP($D44/AM$12,0),"-")</f>
      </c>
      <c r="AN44">
        <f>IF(AN$12&gt;0,ROUNDUP($D44/AN$12,0),"-")</f>
      </c>
      <c r="AO44">
        <f>IF(AO$12&gt;0,ROUNDUP($D44/AO$12,0),"-")</f>
      </c>
      <c r="AP44">
        <f>IF(AP$12&gt;0,ROUNDUP($D44/AP$12,0),"-")</f>
      </c>
      <c r="AQ44">
        <f>IF(AQ$12&gt;0,ROUNDUP($D44/AQ$12,0),"-")</f>
      </c>
      <c r="AR44">
        <f>IF(AR$12&gt;0,ROUNDUP($D44/AR$12,0),"-")</f>
      </c>
      <c r="AS44">
        <f>IF(AS$12&gt;0,ROUNDUP($D44/AS$12,0),"-")</f>
      </c>
      <c r="AT44">
        <f>IF(AT$12&gt;0,ROUNDUP($D44/AT$12,0),"-")</f>
      </c>
      <c r="AU44">
        <f>IF(AU$12&gt;0,ROUNDUP($D44/AU$12,0),"-")</f>
      </c>
      <c r="AV44">
        <f>IF(AV$12&gt;0,ROUNDUP($D44/AV$12,0),"-")</f>
      </c>
      <c r="AW44">
        <f>IF(AW$12&gt;0,ROUNDUP($D44/AW$12,0),"-")</f>
      </c>
      <c r="AX44">
        <f>IF(AX$12&gt;0,ROUNDUP($D44/AX$12,0),"-")</f>
      </c>
      <c r="AY44">
        <f>IF(AY$12&gt;0,ROUNDUP($D44/AY$12,0),"-")</f>
      </c>
      <c r="AZ44">
        <f>IF(AZ$12&gt;0,ROUNDUP($D44/AZ$12,0),"-")</f>
      </c>
      <c r="BA44">
        <f>IF(BA$12&gt;0,ROUNDUP($D44/BA$12,0),"-")</f>
      </c>
    </row>
    <row r="45" spans="1:53" x14ac:dyDescent="0.25">
      <c r="A45" t="s">
        <v>95</v>
      </c>
      <c r="B45">
        <f>INDEX(enemigos!$B$3:$B$500,MATCH($A45,enemigos!$A$3:$A$500,0))</f>
      </c>
      <c r="C45">
        <f>INDEX(enemigos!$C$3:$C$500,MATCH($A45,enemigos!$A$3:$A$500,0))</f>
      </c>
      <c r="D45">
        <f>IF($C45="bicho",INDEX(enemigos!$D$3:$D$500,MATCH($A45,enemigos!$A$3:$A$500,0))*INDEX(ritmo!$B$3:$B$500,MATCH("dureza_vida",ritmo!$A$3:$A$500,0))*(1+$B$4/INDEX(ritmo!$B$3:$B$500,MATCH("vida_escala_seg",ritmo!$A$3:$A$500,0))),INDEX(enemigos!$D$3:$D$500,MATCH($A45,enemigos!$A$3:$A$500,0)))</f>
      </c>
      <c r="E45">
        <f>IF(E$12&gt;0,ROUNDUP($D45/E$12,0),"-")</f>
      </c>
      <c r="F45">
        <f>IF(F$12&gt;0,ROUNDUP($D45/F$12,0),"-")</f>
      </c>
      <c r="G45">
        <f>IF(G$12&gt;0,ROUNDUP($D45/G$12,0),"-")</f>
      </c>
      <c r="H45">
        <f>IF(H$12&gt;0,ROUNDUP($D45/H$12,0),"-")</f>
      </c>
      <c r="I45">
        <f>IF(I$12&gt;0,ROUNDUP($D45/I$12,0),"-")</f>
      </c>
      <c r="J45">
        <f>IF(J$12&gt;0,ROUNDUP($D45/J$12,0),"-")</f>
      </c>
      <c r="K45">
        <f>IF(K$12&gt;0,ROUNDUP($D45/K$12,0),"-")</f>
      </c>
      <c r="L45">
        <f>IF(L$12&gt;0,ROUNDUP($D45/L$12,0),"-")</f>
      </c>
      <c r="M45">
        <f>IF(M$12&gt;0,ROUNDUP($D45/M$12,0),"-")</f>
      </c>
      <c r="N45">
        <f>IF(N$12&gt;0,ROUNDUP($D45/N$12,0),"-")</f>
      </c>
      <c r="O45">
        <f>IF(O$12&gt;0,ROUNDUP($D45/O$12,0),"-")</f>
      </c>
      <c r="P45">
        <f>IF(P$12&gt;0,ROUNDUP($D45/P$12,0),"-")</f>
      </c>
      <c r="Q45">
        <f>IF(Q$12&gt;0,ROUNDUP($D45/Q$12,0),"-")</f>
      </c>
      <c r="R45">
        <f>IF(R$12&gt;0,ROUNDUP($D45/R$12,0),"-")</f>
      </c>
      <c r="S45">
        <f>IF(S$12&gt;0,ROUNDUP($D45/S$12,0),"-")</f>
      </c>
      <c r="T45">
        <f>IF(T$12&gt;0,ROUNDUP($D45/T$12,0),"-")</f>
      </c>
      <c r="U45">
        <f>IF(U$12&gt;0,ROUNDUP($D45/U$12,0),"-")</f>
      </c>
      <c r="V45">
        <f>IF(V$12&gt;0,ROUNDUP($D45/V$12,0),"-")</f>
      </c>
      <c r="W45">
        <f>IF(W$12&gt;0,ROUNDUP($D45/W$12,0),"-")</f>
      </c>
      <c r="X45">
        <f>IF(X$12&gt;0,ROUNDUP($D45/X$12,0),"-")</f>
      </c>
      <c r="Y45">
        <f>IF(Y$12&gt;0,ROUNDUP($D45/Y$12,0),"-")</f>
      </c>
      <c r="Z45">
        <f>IF(Z$12&gt;0,ROUNDUP($D45/Z$12,0),"-")</f>
      </c>
      <c r="AA45">
        <f>IF(AA$12&gt;0,ROUNDUP($D45/AA$12,0),"-")</f>
      </c>
      <c r="AB45">
        <f>IF(AB$12&gt;0,ROUNDUP($D45/AB$12,0),"-")</f>
      </c>
      <c r="AC45">
        <f>IF(AC$12&gt;0,ROUNDUP($D45/AC$12,0),"-")</f>
      </c>
      <c r="AD45">
        <f>IF(AD$12&gt;0,ROUNDUP($D45/AD$12,0),"-")</f>
      </c>
      <c r="AE45">
        <f>IF(AE$12&gt;0,ROUNDUP($D45/AE$12,0),"-")</f>
      </c>
      <c r="AF45">
        <f>IF(AF$12&gt;0,ROUNDUP($D45/AF$12,0),"-")</f>
      </c>
      <c r="AG45">
        <f>IF(AG$12&gt;0,ROUNDUP($D45/AG$12,0),"-")</f>
      </c>
      <c r="AH45">
        <f>IF(AH$12&gt;0,ROUNDUP($D45/AH$12,0),"-")</f>
      </c>
      <c r="AI45">
        <f>IF(AI$12&gt;0,ROUNDUP($D45/AI$12,0),"-")</f>
      </c>
      <c r="AJ45">
        <f>IF(AJ$12&gt;0,ROUNDUP($D45/AJ$12,0),"-")</f>
      </c>
      <c r="AK45">
        <f>IF(AK$12&gt;0,ROUNDUP($D45/AK$12,0),"-")</f>
      </c>
      <c r="AL45">
        <f>IF(AL$12&gt;0,ROUNDUP($D45/AL$12,0),"-")</f>
      </c>
      <c r="AM45">
        <f>IF(AM$12&gt;0,ROUNDUP($D45/AM$12,0),"-")</f>
      </c>
      <c r="AN45">
        <f>IF(AN$12&gt;0,ROUNDUP($D45/AN$12,0),"-")</f>
      </c>
      <c r="AO45">
        <f>IF(AO$12&gt;0,ROUNDUP($D45/AO$12,0),"-")</f>
      </c>
      <c r="AP45">
        <f>IF(AP$12&gt;0,ROUNDUP($D45/AP$12,0),"-")</f>
      </c>
      <c r="AQ45">
        <f>IF(AQ$12&gt;0,ROUNDUP($D45/AQ$12,0),"-")</f>
      </c>
      <c r="AR45">
        <f>IF(AR$12&gt;0,ROUNDUP($D45/AR$12,0),"-")</f>
      </c>
      <c r="AS45">
        <f>IF(AS$12&gt;0,ROUNDUP($D45/AS$12,0),"-")</f>
      </c>
      <c r="AT45">
        <f>IF(AT$12&gt;0,ROUNDUP($D45/AT$12,0),"-")</f>
      </c>
      <c r="AU45">
        <f>IF(AU$12&gt;0,ROUNDUP($D45/AU$12,0),"-")</f>
      </c>
      <c r="AV45">
        <f>IF(AV$12&gt;0,ROUNDUP($D45/AV$12,0),"-")</f>
      </c>
      <c r="AW45">
        <f>IF(AW$12&gt;0,ROUNDUP($D45/AW$12,0),"-")</f>
      </c>
      <c r="AX45">
        <f>IF(AX$12&gt;0,ROUNDUP($D45/AX$12,0),"-")</f>
      </c>
      <c r="AY45">
        <f>IF(AY$12&gt;0,ROUNDUP($D45/AY$12,0),"-")</f>
      </c>
      <c r="AZ45">
        <f>IF(AZ$12&gt;0,ROUNDUP($D45/AZ$12,0),"-")</f>
      </c>
      <c r="BA45">
        <f>IF(BA$12&gt;0,ROUNDUP($D45/BA$12,0),"-")</f>
      </c>
    </row>
    <row r="46" spans="1:53" x14ac:dyDescent="0.25">
      <c r="A46" t="s">
        <v>97</v>
      </c>
      <c r="B46">
        <f>INDEX(enemigos!$B$3:$B$500,MATCH($A46,enemigos!$A$3:$A$500,0))</f>
      </c>
      <c r="C46">
        <f>INDEX(enemigos!$C$3:$C$500,MATCH($A46,enemigos!$A$3:$A$500,0))</f>
      </c>
      <c r="D46">
        <f>IF($C46="bicho",INDEX(enemigos!$D$3:$D$500,MATCH($A46,enemigos!$A$3:$A$500,0))*INDEX(ritmo!$B$3:$B$500,MATCH("dureza_vida",ritmo!$A$3:$A$500,0))*(1+$B$4/INDEX(ritmo!$B$3:$B$500,MATCH("vida_escala_seg",ritmo!$A$3:$A$500,0))),INDEX(enemigos!$D$3:$D$500,MATCH($A46,enemigos!$A$3:$A$500,0)))</f>
      </c>
      <c r="E46">
        <f>IF(E$12&gt;0,ROUNDUP($D46/E$12,0),"-")</f>
      </c>
      <c r="F46">
        <f>IF(F$12&gt;0,ROUNDUP($D46/F$12,0),"-")</f>
      </c>
      <c r="G46">
        <f>IF(G$12&gt;0,ROUNDUP($D46/G$12,0),"-")</f>
      </c>
      <c r="H46">
        <f>IF(H$12&gt;0,ROUNDUP($D46/H$12,0),"-")</f>
      </c>
      <c r="I46">
        <f>IF(I$12&gt;0,ROUNDUP($D46/I$12,0),"-")</f>
      </c>
      <c r="J46">
        <f>IF(J$12&gt;0,ROUNDUP($D46/J$12,0),"-")</f>
      </c>
      <c r="K46">
        <f>IF(K$12&gt;0,ROUNDUP($D46/K$12,0),"-")</f>
      </c>
      <c r="L46">
        <f>IF(L$12&gt;0,ROUNDUP($D46/L$12,0),"-")</f>
      </c>
      <c r="M46">
        <f>IF(M$12&gt;0,ROUNDUP($D46/M$12,0),"-")</f>
      </c>
      <c r="N46">
        <f>IF(N$12&gt;0,ROUNDUP($D46/N$12,0),"-")</f>
      </c>
      <c r="O46">
        <f>IF(O$12&gt;0,ROUNDUP($D46/O$12,0),"-")</f>
      </c>
      <c r="P46">
        <f>IF(P$12&gt;0,ROUNDUP($D46/P$12,0),"-")</f>
      </c>
      <c r="Q46">
        <f>IF(Q$12&gt;0,ROUNDUP($D46/Q$12,0),"-")</f>
      </c>
      <c r="R46">
        <f>IF(R$12&gt;0,ROUNDUP($D46/R$12,0),"-")</f>
      </c>
      <c r="S46">
        <f>IF(S$12&gt;0,ROUNDUP($D46/S$12,0),"-")</f>
      </c>
      <c r="T46">
        <f>IF(T$12&gt;0,ROUNDUP($D46/T$12,0),"-")</f>
      </c>
      <c r="U46">
        <f>IF(U$12&gt;0,ROUNDUP($D46/U$12,0),"-")</f>
      </c>
      <c r="V46">
        <f>IF(V$12&gt;0,ROUNDUP($D46/V$12,0),"-")</f>
      </c>
      <c r="W46">
        <f>IF(W$12&gt;0,ROUNDUP($D46/W$12,0),"-")</f>
      </c>
      <c r="X46">
        <f>IF(X$12&gt;0,ROUNDUP($D46/X$12,0),"-")</f>
      </c>
      <c r="Y46">
        <f>IF(Y$12&gt;0,ROUNDUP($D46/Y$12,0),"-")</f>
      </c>
      <c r="Z46">
        <f>IF(Z$12&gt;0,ROUNDUP($D46/Z$12,0),"-")</f>
      </c>
      <c r="AA46">
        <f>IF(AA$12&gt;0,ROUNDUP($D46/AA$12,0),"-")</f>
      </c>
      <c r="AB46">
        <f>IF(AB$12&gt;0,ROUNDUP($D46/AB$12,0),"-")</f>
      </c>
      <c r="AC46">
        <f>IF(AC$12&gt;0,ROUNDUP($D46/AC$12,0),"-")</f>
      </c>
      <c r="AD46">
        <f>IF(AD$12&gt;0,ROUNDUP($D46/AD$12,0),"-")</f>
      </c>
      <c r="AE46">
        <f>IF(AE$12&gt;0,ROUNDUP($D46/AE$12,0),"-")</f>
      </c>
      <c r="AF46">
        <f>IF(AF$12&gt;0,ROUNDUP($D46/AF$12,0),"-")</f>
      </c>
      <c r="AG46">
        <f>IF(AG$12&gt;0,ROUNDUP($D46/AG$12,0),"-")</f>
      </c>
      <c r="AH46">
        <f>IF(AH$12&gt;0,ROUNDUP($D46/AH$12,0),"-")</f>
      </c>
      <c r="AI46">
        <f>IF(AI$12&gt;0,ROUNDUP($D46/AI$12,0),"-")</f>
      </c>
      <c r="AJ46">
        <f>IF(AJ$12&gt;0,ROUNDUP($D46/AJ$12,0),"-")</f>
      </c>
      <c r="AK46">
        <f>IF(AK$12&gt;0,ROUNDUP($D46/AK$12,0),"-")</f>
      </c>
      <c r="AL46">
        <f>IF(AL$12&gt;0,ROUNDUP($D46/AL$12,0),"-")</f>
      </c>
      <c r="AM46">
        <f>IF(AM$12&gt;0,ROUNDUP($D46/AM$12,0),"-")</f>
      </c>
      <c r="AN46">
        <f>IF(AN$12&gt;0,ROUNDUP($D46/AN$12,0),"-")</f>
      </c>
      <c r="AO46">
        <f>IF(AO$12&gt;0,ROUNDUP($D46/AO$12,0),"-")</f>
      </c>
      <c r="AP46">
        <f>IF(AP$12&gt;0,ROUNDUP($D46/AP$12,0),"-")</f>
      </c>
      <c r="AQ46">
        <f>IF(AQ$12&gt;0,ROUNDUP($D46/AQ$12,0),"-")</f>
      </c>
      <c r="AR46">
        <f>IF(AR$12&gt;0,ROUNDUP($D46/AR$12,0),"-")</f>
      </c>
      <c r="AS46">
        <f>IF(AS$12&gt;0,ROUNDUP($D46/AS$12,0),"-")</f>
      </c>
      <c r="AT46">
        <f>IF(AT$12&gt;0,ROUNDUP($D46/AT$12,0),"-")</f>
      </c>
      <c r="AU46">
        <f>IF(AU$12&gt;0,ROUNDUP($D46/AU$12,0),"-")</f>
      </c>
      <c r="AV46">
        <f>IF(AV$12&gt;0,ROUNDUP($D46/AV$12,0),"-")</f>
      </c>
      <c r="AW46">
        <f>IF(AW$12&gt;0,ROUNDUP($D46/AW$12,0),"-")</f>
      </c>
      <c r="AX46">
        <f>IF(AX$12&gt;0,ROUNDUP($D46/AX$12,0),"-")</f>
      </c>
      <c r="AY46">
        <f>IF(AY$12&gt;0,ROUNDUP($D46/AY$12,0),"-")</f>
      </c>
      <c r="AZ46">
        <f>IF(AZ$12&gt;0,ROUNDUP($D46/AZ$12,0),"-")</f>
      </c>
      <c r="BA46">
        <f>IF(BA$12&gt;0,ROUNDUP($D46/BA$12,0),"-")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70" customWidth="1"/>
    <col min="2" max="2" width="26" customWidth="1"/>
    <col min="3" max="4" width="12" customWidth="1"/>
    <col min="5" max="5" width="24" customWidth="1"/>
    <col min="6" max="6" width="22" customWidth="1"/>
    <col min="7" max="7" width="10" customWidth="1"/>
  </cols>
  <sheetData>
    <row r="1" spans="1:1" x14ac:dyDescent="0.25">
      <c r="A1" s="6" t="s">
        <v>1858</v>
      </c>
    </row>
    <row r="2" spans="1:1" x14ac:dyDescent="0.25">
      <c r="A2" t="s">
        <v>1859</v>
      </c>
    </row>
    <row r="4" spans="1:2" x14ac:dyDescent="0.25">
      <c r="A4" t="s">
        <v>1860</v>
      </c>
      <c r="B4" s="7">
        <v>0.8</v>
      </c>
    </row>
    <row r="6" spans="1:7" x14ac:dyDescent="0.25">
      <c r="A6" s="3" t="s">
        <v>6</v>
      </c>
      <c r="B6" s="3" t="s">
        <v>7</v>
      </c>
      <c r="C6" s="3" t="s">
        <v>8</v>
      </c>
      <c r="D6" s="3" t="s">
        <v>1861</v>
      </c>
      <c r="E6" s="3" t="s">
        <v>1862</v>
      </c>
      <c r="F6" s="3" t="s">
        <v>1863</v>
      </c>
      <c r="G6" s="3" t="s">
        <v>1864</v>
      </c>
    </row>
    <row r="7" spans="1:7" x14ac:dyDescent="0.25">
      <c r="A7" t="s">
        <v>41</v>
      </c>
      <c r="B7">
        <f>INDEX(enemigos!$B$3:$B$500,MATCH($A7,enemigos!$A$3:$A$500,0))</f>
      </c>
      <c r="C7">
        <f>INDEX(enemigos!$C$3:$C$500,MATCH($A7,enemigos!$A$3:$A$500,0))</f>
      </c>
      <c r="D7">
        <f>INDEX(enemigos!$D$3:$D$500,MATCH($A7,enemigos!$A$3:$A$500,0))*IF($C7="jefe_final",1+INDEX(ataques!$B$3:$B$500,MATCH("segunda_barra_vida",ataques!$A$3:$A$500,0)),1)</f>
      </c>
      <c r="E7" s="7">
        <v>200</v>
      </c>
      <c r="F7" s="11">
        <f>IF($E7*$B$4&gt;0,$D7/($E7*$B$4),"-")</f>
      </c>
      <c r="G7" s="11">
        <f>IF(ISNUMBER($F7),$F7/60,"-")</f>
      </c>
    </row>
    <row r="8" spans="1:7" x14ac:dyDescent="0.25">
      <c r="A8" t="s">
        <v>44</v>
      </c>
      <c r="B8">
        <f>INDEX(enemigos!$B$3:$B$500,MATCH($A8,enemigos!$A$3:$A$500,0))</f>
      </c>
      <c r="C8">
        <f>INDEX(enemigos!$C$3:$C$500,MATCH($A8,enemigos!$A$3:$A$500,0))</f>
      </c>
      <c r="D8">
        <f>INDEX(enemigos!$D$3:$D$500,MATCH($A8,enemigos!$A$3:$A$500,0))*IF($C8="jefe_final",1+INDEX(ataques!$B$3:$B$500,MATCH("segunda_barra_vida",ataques!$A$3:$A$500,0)),1)</f>
      </c>
      <c r="E8" s="7">
        <v>200</v>
      </c>
      <c r="F8" s="11">
        <f>IF($E8*$B$4&gt;0,$D8/($E8*$B$4),"-")</f>
      </c>
      <c r="G8" s="11">
        <f>IF(ISNUMBER($F8),$F8/60,"-")</f>
      </c>
    </row>
    <row r="9" spans="1:7" x14ac:dyDescent="0.25">
      <c r="A9" t="s">
        <v>46</v>
      </c>
      <c r="B9">
        <f>INDEX(enemigos!$B$3:$B$500,MATCH($A9,enemigos!$A$3:$A$500,0))</f>
      </c>
      <c r="C9">
        <f>INDEX(enemigos!$C$3:$C$500,MATCH($A9,enemigos!$A$3:$A$500,0))</f>
      </c>
      <c r="D9">
        <f>INDEX(enemigos!$D$3:$D$500,MATCH($A9,enemigos!$A$3:$A$500,0))*IF($C9="jefe_final",1+INDEX(ataques!$B$3:$B$500,MATCH("segunda_barra_vida",ataques!$A$3:$A$500,0)),1)</f>
      </c>
      <c r="E9" s="7">
        <v>200</v>
      </c>
      <c r="F9" s="11">
        <f>IF($E9*$B$4&gt;0,$D9/($E9*$B$4),"-")</f>
      </c>
      <c r="G9" s="11">
        <f>IF(ISNUMBER($F9),$F9/60,"-")</f>
      </c>
    </row>
    <row r="10" spans="1:7" x14ac:dyDescent="0.25">
      <c r="A10" t="s">
        <v>48</v>
      </c>
      <c r="B10">
        <f>INDEX(enemigos!$B$3:$B$500,MATCH($A10,enemigos!$A$3:$A$500,0))</f>
      </c>
      <c r="C10">
        <f>INDEX(enemigos!$C$3:$C$500,MATCH($A10,enemigos!$A$3:$A$500,0))</f>
      </c>
      <c r="D10">
        <f>INDEX(enemigos!$D$3:$D$500,MATCH($A10,enemigos!$A$3:$A$500,0))*IF($C10="jefe_final",1+INDEX(ataques!$B$3:$B$500,MATCH("segunda_barra_vida",ataques!$A$3:$A$500,0)),1)</f>
      </c>
      <c r="E10" s="7">
        <v>200</v>
      </c>
      <c r="F10" s="11">
        <f>IF($E10*$B$4&gt;0,$D10/($E10*$B$4),"-")</f>
      </c>
      <c r="G10" s="11">
        <f>IF(ISNUMBER($F10),$F10/60,"-")</f>
      </c>
    </row>
    <row r="11" spans="1:7" x14ac:dyDescent="0.25">
      <c r="A11" t="s">
        <v>50</v>
      </c>
      <c r="B11">
        <f>INDEX(enemigos!$B$3:$B$500,MATCH($A11,enemigos!$A$3:$A$500,0))</f>
      </c>
      <c r="C11">
        <f>INDEX(enemigos!$C$3:$C$500,MATCH($A11,enemigos!$A$3:$A$500,0))</f>
      </c>
      <c r="D11">
        <f>INDEX(enemigos!$D$3:$D$500,MATCH($A11,enemigos!$A$3:$A$500,0))*IF($C11="jefe_final",1+INDEX(ataques!$B$3:$B$500,MATCH("segunda_barra_vida",ataques!$A$3:$A$500,0)),1)</f>
      </c>
      <c r="E11" s="7">
        <v>200</v>
      </c>
      <c r="F11" s="11">
        <f>IF($E11*$B$4&gt;0,$D11/($E11*$B$4),"-")</f>
      </c>
      <c r="G11" s="11">
        <f>IF(ISNUMBER($F11),$F11/60,"-")</f>
      </c>
    </row>
    <row r="12" spans="1:7" x14ac:dyDescent="0.25">
      <c r="A12" t="s">
        <v>52</v>
      </c>
      <c r="B12">
        <f>INDEX(enemigos!$B$3:$B$500,MATCH($A12,enemigos!$A$3:$A$500,0))</f>
      </c>
      <c r="C12">
        <f>INDEX(enemigos!$C$3:$C$500,MATCH($A12,enemigos!$A$3:$A$500,0))</f>
      </c>
      <c r="D12">
        <f>INDEX(enemigos!$D$3:$D$500,MATCH($A12,enemigos!$A$3:$A$500,0))*IF($C12="jefe_final",1+INDEX(ataques!$B$3:$B$500,MATCH("segunda_barra_vida",ataques!$A$3:$A$500,0)),1)</f>
      </c>
      <c r="E12" s="7">
        <v>200</v>
      </c>
      <c r="F12" s="11">
        <f>IF($E12*$B$4&gt;0,$D12/($E12*$B$4),"-")</f>
      </c>
      <c r="G12" s="11">
        <f>IF(ISNUMBER($F12),$F12/60,"-")</f>
      </c>
    </row>
    <row r="13" spans="1:7" x14ac:dyDescent="0.25">
      <c r="A13" t="s">
        <v>54</v>
      </c>
      <c r="B13">
        <f>INDEX(enemigos!$B$3:$B$500,MATCH($A13,enemigos!$A$3:$A$500,0))</f>
      </c>
      <c r="C13">
        <f>INDEX(enemigos!$C$3:$C$500,MATCH($A13,enemigos!$A$3:$A$500,0))</f>
      </c>
      <c r="D13">
        <f>INDEX(enemigos!$D$3:$D$500,MATCH($A13,enemigos!$A$3:$A$500,0))*IF($C13="jefe_final",1+INDEX(ataques!$B$3:$B$500,MATCH("segunda_barra_vida",ataques!$A$3:$A$500,0)),1)</f>
      </c>
      <c r="E13" s="7">
        <v>200</v>
      </c>
      <c r="F13" s="11">
        <f>IF($E13*$B$4&gt;0,$D13/($E13*$B$4),"-")</f>
      </c>
      <c r="G13" s="11">
        <f>IF(ISNUMBER($F13),$F13/60,"-")</f>
      </c>
    </row>
    <row r="14" spans="1:7" x14ac:dyDescent="0.25">
      <c r="A14" t="s">
        <v>56</v>
      </c>
      <c r="B14">
        <f>INDEX(enemigos!$B$3:$B$500,MATCH($A14,enemigos!$A$3:$A$500,0))</f>
      </c>
      <c r="C14">
        <f>INDEX(enemigos!$C$3:$C$500,MATCH($A14,enemigos!$A$3:$A$500,0))</f>
      </c>
      <c r="D14">
        <f>INDEX(enemigos!$D$3:$D$500,MATCH($A14,enemigos!$A$3:$A$500,0))*IF($C14="jefe_final",1+INDEX(ataques!$B$3:$B$500,MATCH("segunda_barra_vida",ataques!$A$3:$A$500,0)),1)</f>
      </c>
      <c r="E14" s="7">
        <v>200</v>
      </c>
      <c r="F14" s="11">
        <f>IF($E14*$B$4&gt;0,$D14/($E14*$B$4),"-")</f>
      </c>
      <c r="G14" s="11">
        <f>IF(ISNUMBER($F14),$F14/60,"-")</f>
      </c>
    </row>
    <row r="15" spans="1:7" x14ac:dyDescent="0.25">
      <c r="A15" t="s">
        <v>58</v>
      </c>
      <c r="B15">
        <f>INDEX(enemigos!$B$3:$B$500,MATCH($A15,enemigos!$A$3:$A$500,0))</f>
      </c>
      <c r="C15">
        <f>INDEX(enemigos!$C$3:$C$500,MATCH($A15,enemigos!$A$3:$A$500,0))</f>
      </c>
      <c r="D15">
        <f>INDEX(enemigos!$D$3:$D$500,MATCH($A15,enemigos!$A$3:$A$500,0))*IF($C15="jefe_final",1+INDEX(ataques!$B$3:$B$500,MATCH("segunda_barra_vida",ataques!$A$3:$A$500,0)),1)</f>
      </c>
      <c r="E15" s="7">
        <v>200</v>
      </c>
      <c r="F15" s="11">
        <f>IF($E15*$B$4&gt;0,$D15/($E15*$B$4),"-")</f>
      </c>
      <c r="G15" s="11">
        <f>IF(ISNUMBER($F15),$F15/60,"-")</f>
      </c>
    </row>
    <row r="16" spans="1:7" x14ac:dyDescent="0.25">
      <c r="A16" t="s">
        <v>62</v>
      </c>
      <c r="B16">
        <f>INDEX(enemigos!$B$3:$B$500,MATCH($A16,enemigos!$A$3:$A$500,0))</f>
      </c>
      <c r="C16">
        <f>INDEX(enemigos!$C$3:$C$500,MATCH($A16,enemigos!$A$3:$A$500,0))</f>
      </c>
      <c r="D16">
        <f>INDEX(enemigos!$D$3:$D$500,MATCH($A16,enemigos!$A$3:$A$500,0))*IF($C16="jefe_final",1+INDEX(ataques!$B$3:$B$500,MATCH("segunda_barra_vida",ataques!$A$3:$A$500,0)),1)</f>
      </c>
      <c r="E16" s="7">
        <v>600</v>
      </c>
      <c r="F16" s="11">
        <f>IF($E16*$B$4&gt;0,$D16/($E16*$B$4),"-")</f>
      </c>
      <c r="G16" s="11">
        <f>IF(ISNUMBER($F16),$F16/60,"-")</f>
      </c>
    </row>
    <row r="17" spans="1:7" x14ac:dyDescent="0.25">
      <c r="A17" t="s">
        <v>65</v>
      </c>
      <c r="B17">
        <f>INDEX(enemigos!$B$3:$B$500,MATCH($A17,enemigos!$A$3:$A$500,0))</f>
      </c>
      <c r="C17">
        <f>INDEX(enemigos!$C$3:$C$500,MATCH($A17,enemigos!$A$3:$A$500,0))</f>
      </c>
      <c r="D17">
        <f>INDEX(enemigos!$D$3:$D$500,MATCH($A17,enemigos!$A$3:$A$500,0))*IF($C17="jefe_final",1+INDEX(ataques!$B$3:$B$500,MATCH("segunda_barra_vida",ataques!$A$3:$A$500,0)),1)</f>
      </c>
      <c r="E17" s="7">
        <v>600</v>
      </c>
      <c r="F17" s="11">
        <f>IF($E17*$B$4&gt;0,$D17/($E17*$B$4),"-")</f>
      </c>
      <c r="G17" s="11">
        <f>IF(ISNUMBER($F17),$F17/60,"-")</f>
      </c>
    </row>
    <row r="18" spans="1:7" x14ac:dyDescent="0.25">
      <c r="A18" t="s">
        <v>67</v>
      </c>
      <c r="B18">
        <f>INDEX(enemigos!$B$3:$B$500,MATCH($A18,enemigos!$A$3:$A$500,0))</f>
      </c>
      <c r="C18">
        <f>INDEX(enemigos!$C$3:$C$500,MATCH($A18,enemigos!$A$3:$A$500,0))</f>
      </c>
      <c r="D18">
        <f>INDEX(enemigos!$D$3:$D$500,MATCH($A18,enemigos!$A$3:$A$500,0))*IF($C18="jefe_final",1+INDEX(ataques!$B$3:$B$500,MATCH("segunda_barra_vida",ataques!$A$3:$A$500,0)),1)</f>
      </c>
      <c r="E18" s="7">
        <v>600</v>
      </c>
      <c r="F18" s="11">
        <f>IF($E18*$B$4&gt;0,$D18/($E18*$B$4),"-")</f>
      </c>
      <c r="G18" s="11">
        <f>IF(ISNUMBER($F18),$F18/60,"-")</f>
      </c>
    </row>
    <row r="19" spans="1:7" x14ac:dyDescent="0.25">
      <c r="A19" t="s">
        <v>69</v>
      </c>
      <c r="B19">
        <f>INDEX(enemigos!$B$3:$B$500,MATCH($A19,enemigos!$A$3:$A$500,0))</f>
      </c>
      <c r="C19">
        <f>INDEX(enemigos!$C$3:$C$500,MATCH($A19,enemigos!$A$3:$A$500,0))</f>
      </c>
      <c r="D19">
        <f>INDEX(enemigos!$D$3:$D$500,MATCH($A19,enemigos!$A$3:$A$500,0))*IF($C19="jefe_final",1+INDEX(ataques!$B$3:$B$500,MATCH("segunda_barra_vida",ataques!$A$3:$A$500,0)),1)</f>
      </c>
      <c r="E19" s="7">
        <v>600</v>
      </c>
      <c r="F19" s="11">
        <f>IF($E19*$B$4&gt;0,$D19/($E19*$B$4),"-")</f>
      </c>
      <c r="G19" s="11">
        <f>IF(ISNUMBER($F19),$F19/60,"-")</f>
      </c>
    </row>
    <row r="20" spans="1:7" x14ac:dyDescent="0.25">
      <c r="A20" t="s">
        <v>97</v>
      </c>
      <c r="B20">
        <f>INDEX(enemigos!$B$3:$B$500,MATCH($A20,enemigos!$A$3:$A$500,0))</f>
      </c>
      <c r="C20">
        <f>INDEX(enemigos!$C$3:$C$500,MATCH($A20,enemigos!$A$3:$A$500,0))</f>
      </c>
      <c r="D20">
        <f>INDEX(enemigos!$D$3:$D$500,MATCH($A20,enemigos!$A$3:$A$500,0))*IF($C20="jefe_final",1+INDEX(ataques!$B$3:$B$500,MATCH("segunda_barra_vida",ataques!$A$3:$A$500,0)),1)</f>
      </c>
      <c r="E20" s="7">
        <v>600</v>
      </c>
      <c r="F20" s="11">
        <f>IF($E20*$B$4&gt;0,$D20/($E20*$B$4),"-")</f>
      </c>
      <c r="G20" s="11">
        <f>IF(ISNUMBER($F20),$F20/60,"-")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>
      <pane xSplit="3" ySplit="10" topLeftCell="D11" activePane="bottomRight" state="frozen"/>
      <selection pane="bottomRight"/>
    </sheetView>
  </sheetViews>
  <sheetFormatPr defaultRowHeight="15" outlineLevelRow="0" outlineLevelCol="0" x14ac:dyDescent="55"/>
  <cols>
    <col min="1" max="1" width="70" customWidth="1"/>
    <col min="2" max="3" width="26" customWidth="1"/>
    <col min="14" max="14" width="10" customWidth="1"/>
  </cols>
  <sheetData>
    <row r="1" spans="1:1" x14ac:dyDescent="0.25">
      <c r="A1" s="6" t="s">
        <v>1865</v>
      </c>
    </row>
    <row r="2" spans="1:1" x14ac:dyDescent="0.25">
      <c r="A2" t="s">
        <v>1866</v>
      </c>
    </row>
    <row r="4" spans="1:2" x14ac:dyDescent="0.25">
      <c r="A4" t="s">
        <v>1867</v>
      </c>
      <c r="B4" s="12">
        <f>INDEX(ritmo!$B$3:$B$500,MATCH("tornillos_partida_tipica",ritmo!$A$3:$A$500,0))</f>
      </c>
    </row>
    <row r="5" spans="1:2" x14ac:dyDescent="0.25">
      <c r="A5" t="s">
        <v>1868</v>
      </c>
      <c r="B5" s="7">
        <v>420</v>
      </c>
    </row>
    <row r="6" spans="1:2" x14ac:dyDescent="0.25">
      <c r="A6" t="s">
        <v>1869</v>
      </c>
      <c r="B6" s="7">
        <v>600</v>
      </c>
    </row>
    <row r="7" spans="1:2" x14ac:dyDescent="0.25">
      <c r="A7" t="s">
        <v>1870</v>
      </c>
      <c r="B7" s="7">
        <v>1</v>
      </c>
    </row>
    <row r="8" spans="1:2" x14ac:dyDescent="0.25">
      <c r="A8" t="s">
        <v>1871</v>
      </c>
      <c r="B8">
        <f>INT((B7*INDEX(ritmo!$B$3:$B$500,MATCH("tornillos_jefe",ritmo!$A$3:$A$500,0))+INT(B5/INDEX(ritmo!$B$3:$B$500,MATCH("tornillos_div_tiempo",ritmo!$A$3:$A$500,0)))+INT(B6*INDEX(ritmo!$B$3:$B$500,MATCH("dureza_xp",ritmo!$A$3:$A$500,0))/INDEX(ritmo!$B$3:$B$500,MATCH("tornillos_div_bajas",ritmo!$A$3:$A$500,0)))))</f>
      </c>
    </row>
    <row r="10" spans="1:14" x14ac:dyDescent="0.25">
      <c r="A10" s="3" t="s">
        <v>8</v>
      </c>
      <c r="B10" s="3" t="s">
        <v>6</v>
      </c>
      <c r="C10" s="3" t="s">
        <v>7</v>
      </c>
      <c r="D10" s="3" t="s">
        <v>327</v>
      </c>
      <c r="E10" s="3" t="s">
        <v>328</v>
      </c>
      <c r="F10" s="3" t="s">
        <v>329</v>
      </c>
      <c r="G10" s="3" t="s">
        <v>330</v>
      </c>
      <c r="H10" s="3" t="s">
        <v>331</v>
      </c>
      <c r="I10" s="3" t="s">
        <v>332</v>
      </c>
      <c r="J10" s="3" t="s">
        <v>333</v>
      </c>
      <c r="K10" s="3" t="s">
        <v>334</v>
      </c>
      <c r="L10" s="3" t="s">
        <v>335</v>
      </c>
      <c r="M10" s="3" t="s">
        <v>336</v>
      </c>
      <c r="N10" s="3" t="s">
        <v>1872</v>
      </c>
    </row>
    <row r="11" spans="1:14" x14ac:dyDescent="0.25">
      <c r="A11" t="s">
        <v>350</v>
      </c>
      <c r="B11" t="s">
        <v>349</v>
      </c>
      <c r="C11">
        <f>INDEX(precios!$C$3:$C$500,MATCH($B11,precios!$A$3:$A$500,0))</f>
      </c>
      <c r="D11" s="11">
        <f>IF(INDEX(precios!$E$3:$E$500,MATCH($B11,precios!$A$3:$A$500,0))&gt;0,INDEX(precios!$E$3:$E$500,MATCH($B11,precios!$A$3:$A$500,0))/$B$4,"")</f>
      </c>
      <c r="E11" s="11">
        <f>IF(INDEX(precios!$F$3:$F$500,MATCH($B11,precios!$A$3:$A$500,0))&gt;0,INDEX(precios!$F$3:$F$500,MATCH($B11,precios!$A$3:$A$500,0))/$B$4,"")</f>
      </c>
      <c r="F11" s="11">
        <f>IF(INDEX(precios!$G$3:$G$500,MATCH($B11,precios!$A$3:$A$500,0))&gt;0,INDEX(precios!$G$3:$G$500,MATCH($B11,precios!$A$3:$A$500,0))/$B$4,"")</f>
      </c>
      <c r="G11" s="11">
        <f>IF(INDEX(precios!$H$3:$H$500,MATCH($B11,precios!$A$3:$A$500,0))&gt;0,INDEX(precios!$H$3:$H$500,MATCH($B11,precios!$A$3:$A$500,0))/$B$4,"")</f>
      </c>
      <c r="H11" s="11">
        <f>IF(INDEX(precios!$I$3:$I$500,MATCH($B11,precios!$A$3:$A$500,0))&gt;0,INDEX(precios!$I$3:$I$500,MATCH($B11,precios!$A$3:$A$500,0))/$B$4,"")</f>
      </c>
      <c r="I11" s="11">
        <f>IF(INDEX(precios!$J$3:$J$500,MATCH($B11,precios!$A$3:$A$500,0))&gt;0,INDEX(precios!$J$3:$J$500,MATCH($B11,precios!$A$3:$A$500,0))/$B$4,"")</f>
      </c>
      <c r="J11" s="11">
        <f>IF(INDEX(precios!$K$3:$K$500,MATCH($B11,precios!$A$3:$A$500,0))&gt;0,INDEX(precios!$K$3:$K$500,MATCH($B11,precios!$A$3:$A$500,0))/$B$4,"")</f>
      </c>
      <c r="K11" s="11">
        <f>IF(INDEX(precios!$L$3:$L$500,MATCH($B11,precios!$A$3:$A$500,0))&gt;0,INDEX(precios!$L$3:$L$500,MATCH($B11,precios!$A$3:$A$500,0))/$B$4,"")</f>
      </c>
      <c r="L11" s="11">
        <f>IF(INDEX(precios!$M$3:$M$500,MATCH($B11,precios!$A$3:$A$500,0))&gt;0,INDEX(precios!$M$3:$M$500,MATCH($B11,precios!$A$3:$A$500,0))/$B$4,"")</f>
      </c>
      <c r="M11" s="11">
        <f>IF(INDEX(precios!$N$3:$N$500,MATCH($B11,precios!$A$3:$A$500,0))&gt;0,INDEX(precios!$N$3:$N$500,MATCH($B11,precios!$A$3:$A$500,0))/$B$4,"")</f>
      </c>
      <c r="N11" s="11">
        <f>SUM(D11:M11)</f>
      </c>
    </row>
    <row r="12" spans="1:14" x14ac:dyDescent="0.25">
      <c r="A12" t="s">
        <v>350</v>
      </c>
      <c r="B12" t="s">
        <v>352</v>
      </c>
      <c r="C12">
        <f>INDEX(precios!$C$3:$C$500,MATCH($B12,precios!$A$3:$A$500,0))</f>
      </c>
      <c r="D12" s="11">
        <f>IF(INDEX(precios!$E$3:$E$500,MATCH($B12,precios!$A$3:$A$500,0))&gt;0,INDEX(precios!$E$3:$E$500,MATCH($B12,precios!$A$3:$A$500,0))/$B$4,"")</f>
      </c>
      <c r="E12" s="11">
        <f>IF(INDEX(precios!$F$3:$F$500,MATCH($B12,precios!$A$3:$A$500,0))&gt;0,INDEX(precios!$F$3:$F$500,MATCH($B12,precios!$A$3:$A$500,0))/$B$4,"")</f>
      </c>
      <c r="F12" s="11">
        <f>IF(INDEX(precios!$G$3:$G$500,MATCH($B12,precios!$A$3:$A$500,0))&gt;0,INDEX(precios!$G$3:$G$500,MATCH($B12,precios!$A$3:$A$500,0))/$B$4,"")</f>
      </c>
      <c r="G12" s="11">
        <f>IF(INDEX(precios!$H$3:$H$500,MATCH($B12,precios!$A$3:$A$500,0))&gt;0,INDEX(precios!$H$3:$H$500,MATCH($B12,precios!$A$3:$A$500,0))/$B$4,"")</f>
      </c>
      <c r="H12" s="11">
        <f>IF(INDEX(precios!$I$3:$I$500,MATCH($B12,precios!$A$3:$A$500,0))&gt;0,INDEX(precios!$I$3:$I$500,MATCH($B12,precios!$A$3:$A$500,0))/$B$4,"")</f>
      </c>
      <c r="I12" s="11">
        <f>IF(INDEX(precios!$J$3:$J$500,MATCH($B12,precios!$A$3:$A$500,0))&gt;0,INDEX(precios!$J$3:$J$500,MATCH($B12,precios!$A$3:$A$500,0))/$B$4,"")</f>
      </c>
      <c r="J12" s="11">
        <f>IF(INDEX(precios!$K$3:$K$500,MATCH($B12,precios!$A$3:$A$500,0))&gt;0,INDEX(precios!$K$3:$K$500,MATCH($B12,precios!$A$3:$A$500,0))/$B$4,"")</f>
      </c>
      <c r="K12" s="11">
        <f>IF(INDEX(precios!$L$3:$L$500,MATCH($B12,precios!$A$3:$A$500,0))&gt;0,INDEX(precios!$L$3:$L$500,MATCH($B12,precios!$A$3:$A$500,0))/$B$4,"")</f>
      </c>
      <c r="L12" s="11">
        <f>IF(INDEX(precios!$M$3:$M$500,MATCH($B12,precios!$A$3:$A$500,0))&gt;0,INDEX(precios!$M$3:$M$500,MATCH($B12,precios!$A$3:$A$500,0))/$B$4,"")</f>
      </c>
      <c r="M12" s="11">
        <f>IF(INDEX(precios!$N$3:$N$500,MATCH($B12,precios!$A$3:$A$500,0))&gt;0,INDEX(precios!$N$3:$N$500,MATCH($B12,precios!$A$3:$A$500,0))/$B$4,"")</f>
      </c>
      <c r="N12" s="11">
        <f>SUM(D12:M12)</f>
      </c>
    </row>
    <row r="13" spans="1:14" x14ac:dyDescent="0.25">
      <c r="A13" t="s">
        <v>350</v>
      </c>
      <c r="B13" t="s">
        <v>354</v>
      </c>
      <c r="C13">
        <f>INDEX(precios!$C$3:$C$500,MATCH($B13,precios!$A$3:$A$500,0))</f>
      </c>
      <c r="D13" s="11">
        <f>IF(INDEX(precios!$E$3:$E$500,MATCH($B13,precios!$A$3:$A$500,0))&gt;0,INDEX(precios!$E$3:$E$500,MATCH($B13,precios!$A$3:$A$500,0))/$B$4,"")</f>
      </c>
      <c r="E13" s="11">
        <f>IF(INDEX(precios!$F$3:$F$500,MATCH($B13,precios!$A$3:$A$500,0))&gt;0,INDEX(precios!$F$3:$F$500,MATCH($B13,precios!$A$3:$A$500,0))/$B$4,"")</f>
      </c>
      <c r="F13" s="11">
        <f>IF(INDEX(precios!$G$3:$G$500,MATCH($B13,precios!$A$3:$A$500,0))&gt;0,INDEX(precios!$G$3:$G$500,MATCH($B13,precios!$A$3:$A$500,0))/$B$4,"")</f>
      </c>
      <c r="G13" s="11">
        <f>IF(INDEX(precios!$H$3:$H$500,MATCH($B13,precios!$A$3:$A$500,0))&gt;0,INDEX(precios!$H$3:$H$500,MATCH($B13,precios!$A$3:$A$500,0))/$B$4,"")</f>
      </c>
      <c r="H13" s="11">
        <f>IF(INDEX(precios!$I$3:$I$500,MATCH($B13,precios!$A$3:$A$500,0))&gt;0,INDEX(precios!$I$3:$I$500,MATCH($B13,precios!$A$3:$A$500,0))/$B$4,"")</f>
      </c>
      <c r="I13" s="11">
        <f>IF(INDEX(precios!$J$3:$J$500,MATCH($B13,precios!$A$3:$A$500,0))&gt;0,INDEX(precios!$J$3:$J$500,MATCH($B13,precios!$A$3:$A$500,0))/$B$4,"")</f>
      </c>
      <c r="J13" s="11">
        <f>IF(INDEX(precios!$K$3:$K$500,MATCH($B13,precios!$A$3:$A$500,0))&gt;0,INDEX(precios!$K$3:$K$500,MATCH($B13,precios!$A$3:$A$500,0))/$B$4,"")</f>
      </c>
      <c r="K13" s="11">
        <f>IF(INDEX(precios!$L$3:$L$500,MATCH($B13,precios!$A$3:$A$500,0))&gt;0,INDEX(precios!$L$3:$L$500,MATCH($B13,precios!$A$3:$A$500,0))/$B$4,"")</f>
      </c>
      <c r="L13" s="11">
        <f>IF(INDEX(precios!$M$3:$M$500,MATCH($B13,precios!$A$3:$A$500,0))&gt;0,INDEX(precios!$M$3:$M$500,MATCH($B13,precios!$A$3:$A$500,0))/$B$4,"")</f>
      </c>
      <c r="M13" s="11">
        <f>IF(INDEX(precios!$N$3:$N$500,MATCH($B13,precios!$A$3:$A$500,0))&gt;0,INDEX(precios!$N$3:$N$500,MATCH($B13,precios!$A$3:$A$500,0))/$B$4,"")</f>
      </c>
      <c r="N13" s="11">
        <f>SUM(D13:M13)</f>
      </c>
    </row>
    <row r="14" spans="1:14" x14ac:dyDescent="0.25">
      <c r="A14" t="s">
        <v>350</v>
      </c>
      <c r="B14" t="s">
        <v>356</v>
      </c>
      <c r="C14">
        <f>INDEX(precios!$C$3:$C$500,MATCH($B14,precios!$A$3:$A$500,0))</f>
      </c>
      <c r="D14" s="11">
        <f>IF(INDEX(precios!$E$3:$E$500,MATCH($B14,precios!$A$3:$A$500,0))&gt;0,INDEX(precios!$E$3:$E$500,MATCH($B14,precios!$A$3:$A$500,0))/$B$4,"")</f>
      </c>
      <c r="E14" s="11">
        <f>IF(INDEX(precios!$F$3:$F$500,MATCH($B14,precios!$A$3:$A$500,0))&gt;0,INDEX(precios!$F$3:$F$500,MATCH($B14,precios!$A$3:$A$500,0))/$B$4,"")</f>
      </c>
      <c r="F14" s="11">
        <f>IF(INDEX(precios!$G$3:$G$500,MATCH($B14,precios!$A$3:$A$500,0))&gt;0,INDEX(precios!$G$3:$G$500,MATCH($B14,precios!$A$3:$A$500,0))/$B$4,"")</f>
      </c>
      <c r="G14" s="11">
        <f>IF(INDEX(precios!$H$3:$H$500,MATCH($B14,precios!$A$3:$A$500,0))&gt;0,INDEX(precios!$H$3:$H$500,MATCH($B14,precios!$A$3:$A$500,0))/$B$4,"")</f>
      </c>
      <c r="H14" s="11">
        <f>IF(INDEX(precios!$I$3:$I$500,MATCH($B14,precios!$A$3:$A$500,0))&gt;0,INDEX(precios!$I$3:$I$500,MATCH($B14,precios!$A$3:$A$500,0))/$B$4,"")</f>
      </c>
      <c r="I14" s="11">
        <f>IF(INDEX(precios!$J$3:$J$500,MATCH($B14,precios!$A$3:$A$500,0))&gt;0,INDEX(precios!$J$3:$J$500,MATCH($B14,precios!$A$3:$A$500,0))/$B$4,"")</f>
      </c>
      <c r="J14" s="11">
        <f>IF(INDEX(precios!$K$3:$K$500,MATCH($B14,precios!$A$3:$A$500,0))&gt;0,INDEX(precios!$K$3:$K$500,MATCH($B14,precios!$A$3:$A$500,0))/$B$4,"")</f>
      </c>
      <c r="K14" s="11">
        <f>IF(INDEX(precios!$L$3:$L$500,MATCH($B14,precios!$A$3:$A$500,0))&gt;0,INDEX(precios!$L$3:$L$500,MATCH($B14,precios!$A$3:$A$500,0))/$B$4,"")</f>
      </c>
      <c r="L14" s="11">
        <f>IF(INDEX(precios!$M$3:$M$500,MATCH($B14,precios!$A$3:$A$500,0))&gt;0,INDEX(precios!$M$3:$M$500,MATCH($B14,precios!$A$3:$A$500,0))/$B$4,"")</f>
      </c>
      <c r="M14" s="11">
        <f>IF(INDEX(precios!$N$3:$N$500,MATCH($B14,precios!$A$3:$A$500,0))&gt;0,INDEX(precios!$N$3:$N$500,MATCH($B14,precios!$A$3:$A$500,0))/$B$4,"")</f>
      </c>
      <c r="N14" s="11">
        <f>SUM(D14:M14)</f>
      </c>
    </row>
    <row r="15" spans="1:14" x14ac:dyDescent="0.25">
      <c r="A15" t="s">
        <v>350</v>
      </c>
      <c r="B15" t="s">
        <v>358</v>
      </c>
      <c r="C15">
        <f>INDEX(precios!$C$3:$C$500,MATCH($B15,precios!$A$3:$A$500,0))</f>
      </c>
      <c r="D15" s="11">
        <f>IF(INDEX(precios!$E$3:$E$500,MATCH($B15,precios!$A$3:$A$500,0))&gt;0,INDEX(precios!$E$3:$E$500,MATCH($B15,precios!$A$3:$A$500,0))/$B$4,"")</f>
      </c>
      <c r="E15" s="11">
        <f>IF(INDEX(precios!$F$3:$F$500,MATCH($B15,precios!$A$3:$A$500,0))&gt;0,INDEX(precios!$F$3:$F$500,MATCH($B15,precios!$A$3:$A$500,0))/$B$4,"")</f>
      </c>
      <c r="F15" s="11">
        <f>IF(INDEX(precios!$G$3:$G$500,MATCH($B15,precios!$A$3:$A$500,0))&gt;0,INDEX(precios!$G$3:$G$500,MATCH($B15,precios!$A$3:$A$500,0))/$B$4,"")</f>
      </c>
      <c r="G15" s="11">
        <f>IF(INDEX(precios!$H$3:$H$500,MATCH($B15,precios!$A$3:$A$500,0))&gt;0,INDEX(precios!$H$3:$H$500,MATCH($B15,precios!$A$3:$A$500,0))/$B$4,"")</f>
      </c>
      <c r="H15" s="11">
        <f>IF(INDEX(precios!$I$3:$I$500,MATCH($B15,precios!$A$3:$A$500,0))&gt;0,INDEX(precios!$I$3:$I$500,MATCH($B15,precios!$A$3:$A$500,0))/$B$4,"")</f>
      </c>
      <c r="I15" s="11">
        <f>IF(INDEX(precios!$J$3:$J$500,MATCH($B15,precios!$A$3:$A$500,0))&gt;0,INDEX(precios!$J$3:$J$500,MATCH($B15,precios!$A$3:$A$500,0))/$B$4,"")</f>
      </c>
      <c r="J15" s="11">
        <f>IF(INDEX(precios!$K$3:$K$500,MATCH($B15,precios!$A$3:$A$500,0))&gt;0,INDEX(precios!$K$3:$K$500,MATCH($B15,precios!$A$3:$A$500,0))/$B$4,"")</f>
      </c>
      <c r="K15" s="11">
        <f>IF(INDEX(precios!$L$3:$L$500,MATCH($B15,precios!$A$3:$A$500,0))&gt;0,INDEX(precios!$L$3:$L$500,MATCH($B15,precios!$A$3:$A$500,0))/$B$4,"")</f>
      </c>
      <c r="L15" s="11">
        <f>IF(INDEX(precios!$M$3:$M$500,MATCH($B15,precios!$A$3:$A$500,0))&gt;0,INDEX(precios!$M$3:$M$500,MATCH($B15,precios!$A$3:$A$500,0))/$B$4,"")</f>
      </c>
      <c r="M15" s="11">
        <f>IF(INDEX(precios!$N$3:$N$500,MATCH($B15,precios!$A$3:$A$500,0))&gt;0,INDEX(precios!$N$3:$N$500,MATCH($B15,precios!$A$3:$A$500,0))/$B$4,"")</f>
      </c>
      <c r="N15" s="11">
        <f>SUM(D15:M15)</f>
      </c>
    </row>
    <row r="16" spans="1:14" x14ac:dyDescent="0.25">
      <c r="A16" t="s">
        <v>350</v>
      </c>
      <c r="B16" t="s">
        <v>360</v>
      </c>
      <c r="C16">
        <f>INDEX(precios!$C$3:$C$500,MATCH($B16,precios!$A$3:$A$500,0))</f>
      </c>
      <c r="D16" s="11">
        <f>IF(INDEX(precios!$E$3:$E$500,MATCH($B16,precios!$A$3:$A$500,0))&gt;0,INDEX(precios!$E$3:$E$500,MATCH($B16,precios!$A$3:$A$500,0))/$B$4,"")</f>
      </c>
      <c r="E16" s="11">
        <f>IF(INDEX(precios!$F$3:$F$500,MATCH($B16,precios!$A$3:$A$500,0))&gt;0,INDEX(precios!$F$3:$F$500,MATCH($B16,precios!$A$3:$A$500,0))/$B$4,"")</f>
      </c>
      <c r="F16" s="11">
        <f>IF(INDEX(precios!$G$3:$G$500,MATCH($B16,precios!$A$3:$A$500,0))&gt;0,INDEX(precios!$G$3:$G$500,MATCH($B16,precios!$A$3:$A$500,0))/$B$4,"")</f>
      </c>
      <c r="G16" s="11">
        <f>IF(INDEX(precios!$H$3:$H$500,MATCH($B16,precios!$A$3:$A$500,0))&gt;0,INDEX(precios!$H$3:$H$500,MATCH($B16,precios!$A$3:$A$500,0))/$B$4,"")</f>
      </c>
      <c r="H16" s="11">
        <f>IF(INDEX(precios!$I$3:$I$500,MATCH($B16,precios!$A$3:$A$500,0))&gt;0,INDEX(precios!$I$3:$I$500,MATCH($B16,precios!$A$3:$A$500,0))/$B$4,"")</f>
      </c>
      <c r="I16" s="11">
        <f>IF(INDEX(precios!$J$3:$J$500,MATCH($B16,precios!$A$3:$A$500,0))&gt;0,INDEX(precios!$J$3:$J$500,MATCH($B16,precios!$A$3:$A$500,0))/$B$4,"")</f>
      </c>
      <c r="J16" s="11">
        <f>IF(INDEX(precios!$K$3:$K$500,MATCH($B16,precios!$A$3:$A$500,0))&gt;0,INDEX(precios!$K$3:$K$500,MATCH($B16,precios!$A$3:$A$500,0))/$B$4,"")</f>
      </c>
      <c r="K16" s="11">
        <f>IF(INDEX(precios!$L$3:$L$500,MATCH($B16,precios!$A$3:$A$500,0))&gt;0,INDEX(precios!$L$3:$L$500,MATCH($B16,precios!$A$3:$A$500,0))/$B$4,"")</f>
      </c>
      <c r="L16" s="11">
        <f>IF(INDEX(precios!$M$3:$M$500,MATCH($B16,precios!$A$3:$A$500,0))&gt;0,INDEX(precios!$M$3:$M$500,MATCH($B16,precios!$A$3:$A$500,0))/$B$4,"")</f>
      </c>
      <c r="M16" s="11">
        <f>IF(INDEX(precios!$N$3:$N$500,MATCH($B16,precios!$A$3:$A$500,0))&gt;0,INDEX(precios!$N$3:$N$500,MATCH($B16,precios!$A$3:$A$500,0))/$B$4,"")</f>
      </c>
      <c r="N16" s="11">
        <f>SUM(D16:M16)</f>
      </c>
    </row>
    <row r="17" spans="1:14" x14ac:dyDescent="0.25">
      <c r="A17" t="s">
        <v>350</v>
      </c>
      <c r="B17" t="s">
        <v>362</v>
      </c>
      <c r="C17">
        <f>INDEX(precios!$C$3:$C$500,MATCH($B17,precios!$A$3:$A$500,0))</f>
      </c>
      <c r="D17" s="11">
        <f>IF(INDEX(precios!$E$3:$E$500,MATCH($B17,precios!$A$3:$A$500,0))&gt;0,INDEX(precios!$E$3:$E$500,MATCH($B17,precios!$A$3:$A$500,0))/$B$4,"")</f>
      </c>
      <c r="E17" s="11">
        <f>IF(INDEX(precios!$F$3:$F$500,MATCH($B17,precios!$A$3:$A$500,0))&gt;0,INDEX(precios!$F$3:$F$500,MATCH($B17,precios!$A$3:$A$500,0))/$B$4,"")</f>
      </c>
      <c r="F17" s="11">
        <f>IF(INDEX(precios!$G$3:$G$500,MATCH($B17,precios!$A$3:$A$500,0))&gt;0,INDEX(precios!$G$3:$G$500,MATCH($B17,precios!$A$3:$A$500,0))/$B$4,"")</f>
      </c>
      <c r="G17" s="11">
        <f>IF(INDEX(precios!$H$3:$H$500,MATCH($B17,precios!$A$3:$A$500,0))&gt;0,INDEX(precios!$H$3:$H$500,MATCH($B17,precios!$A$3:$A$500,0))/$B$4,"")</f>
      </c>
      <c r="H17" s="11">
        <f>IF(INDEX(precios!$I$3:$I$500,MATCH($B17,precios!$A$3:$A$500,0))&gt;0,INDEX(precios!$I$3:$I$500,MATCH($B17,precios!$A$3:$A$500,0))/$B$4,"")</f>
      </c>
      <c r="I17" s="11">
        <f>IF(INDEX(precios!$J$3:$J$500,MATCH($B17,precios!$A$3:$A$500,0))&gt;0,INDEX(precios!$J$3:$J$500,MATCH($B17,precios!$A$3:$A$500,0))/$B$4,"")</f>
      </c>
      <c r="J17" s="11">
        <f>IF(INDEX(precios!$K$3:$K$500,MATCH($B17,precios!$A$3:$A$500,0))&gt;0,INDEX(precios!$K$3:$K$500,MATCH($B17,precios!$A$3:$A$500,0))/$B$4,"")</f>
      </c>
      <c r="K17" s="11">
        <f>IF(INDEX(precios!$L$3:$L$500,MATCH($B17,precios!$A$3:$A$500,0))&gt;0,INDEX(precios!$L$3:$L$500,MATCH($B17,precios!$A$3:$A$500,0))/$B$4,"")</f>
      </c>
      <c r="L17" s="11">
        <f>IF(INDEX(precios!$M$3:$M$500,MATCH($B17,precios!$A$3:$A$500,0))&gt;0,INDEX(precios!$M$3:$M$500,MATCH($B17,precios!$A$3:$A$500,0))/$B$4,"")</f>
      </c>
      <c r="M17" s="11">
        <f>IF(INDEX(precios!$N$3:$N$500,MATCH($B17,precios!$A$3:$A$500,0))&gt;0,INDEX(precios!$N$3:$N$500,MATCH($B17,precios!$A$3:$A$500,0))/$B$4,"")</f>
      </c>
      <c r="N17" s="11">
        <f>SUM(D17:M17)</f>
      </c>
    </row>
    <row r="18" spans="1:14" x14ac:dyDescent="0.25">
      <c r="A18" t="s">
        <v>350</v>
      </c>
      <c r="B18" t="s">
        <v>364</v>
      </c>
      <c r="C18">
        <f>INDEX(precios!$C$3:$C$500,MATCH($B18,precios!$A$3:$A$500,0))</f>
      </c>
      <c r="D18" s="11">
        <f>IF(INDEX(precios!$E$3:$E$500,MATCH($B18,precios!$A$3:$A$500,0))&gt;0,INDEX(precios!$E$3:$E$500,MATCH($B18,precios!$A$3:$A$500,0))/$B$4,"")</f>
      </c>
      <c r="E18" s="11">
        <f>IF(INDEX(precios!$F$3:$F$500,MATCH($B18,precios!$A$3:$A$500,0))&gt;0,INDEX(precios!$F$3:$F$500,MATCH($B18,precios!$A$3:$A$500,0))/$B$4,"")</f>
      </c>
      <c r="F18" s="11">
        <f>IF(INDEX(precios!$G$3:$G$500,MATCH($B18,precios!$A$3:$A$500,0))&gt;0,INDEX(precios!$G$3:$G$500,MATCH($B18,precios!$A$3:$A$500,0))/$B$4,"")</f>
      </c>
      <c r="G18" s="11">
        <f>IF(INDEX(precios!$H$3:$H$500,MATCH($B18,precios!$A$3:$A$500,0))&gt;0,INDEX(precios!$H$3:$H$500,MATCH($B18,precios!$A$3:$A$500,0))/$B$4,"")</f>
      </c>
      <c r="H18" s="11">
        <f>IF(INDEX(precios!$I$3:$I$500,MATCH($B18,precios!$A$3:$A$500,0))&gt;0,INDEX(precios!$I$3:$I$500,MATCH($B18,precios!$A$3:$A$500,0))/$B$4,"")</f>
      </c>
      <c r="I18" s="11">
        <f>IF(INDEX(precios!$J$3:$J$500,MATCH($B18,precios!$A$3:$A$500,0))&gt;0,INDEX(precios!$J$3:$J$500,MATCH($B18,precios!$A$3:$A$500,0))/$B$4,"")</f>
      </c>
      <c r="J18" s="11">
        <f>IF(INDEX(precios!$K$3:$K$500,MATCH($B18,precios!$A$3:$A$500,0))&gt;0,INDEX(precios!$K$3:$K$500,MATCH($B18,precios!$A$3:$A$500,0))/$B$4,"")</f>
      </c>
      <c r="K18" s="11">
        <f>IF(INDEX(precios!$L$3:$L$500,MATCH($B18,precios!$A$3:$A$500,0))&gt;0,INDEX(precios!$L$3:$L$500,MATCH($B18,precios!$A$3:$A$500,0))/$B$4,"")</f>
      </c>
      <c r="L18" s="11">
        <f>IF(INDEX(precios!$M$3:$M$500,MATCH($B18,precios!$A$3:$A$500,0))&gt;0,INDEX(precios!$M$3:$M$500,MATCH($B18,precios!$A$3:$A$500,0))/$B$4,"")</f>
      </c>
      <c r="M18" s="11">
        <f>IF(INDEX(precios!$N$3:$N$500,MATCH($B18,precios!$A$3:$A$500,0))&gt;0,INDEX(precios!$N$3:$N$500,MATCH($B18,precios!$A$3:$A$500,0))/$B$4,"")</f>
      </c>
      <c r="N18" s="11">
        <f>SUM(D18:M18)</f>
      </c>
    </row>
    <row r="19" spans="1:14" x14ac:dyDescent="0.25">
      <c r="A19" t="s">
        <v>350</v>
      </c>
      <c r="B19" t="s">
        <v>366</v>
      </c>
      <c r="C19">
        <f>INDEX(precios!$C$3:$C$500,MATCH($B19,precios!$A$3:$A$500,0))</f>
      </c>
      <c r="D19" s="11">
        <f>IF(INDEX(precios!$E$3:$E$500,MATCH($B19,precios!$A$3:$A$500,0))&gt;0,INDEX(precios!$E$3:$E$500,MATCH($B19,precios!$A$3:$A$500,0))/$B$4,"")</f>
      </c>
      <c r="E19" s="11">
        <f>IF(INDEX(precios!$F$3:$F$500,MATCH($B19,precios!$A$3:$A$500,0))&gt;0,INDEX(precios!$F$3:$F$500,MATCH($B19,precios!$A$3:$A$500,0))/$B$4,"")</f>
      </c>
      <c r="F19" s="11">
        <f>IF(INDEX(precios!$G$3:$G$500,MATCH($B19,precios!$A$3:$A$500,0))&gt;0,INDEX(precios!$G$3:$G$500,MATCH($B19,precios!$A$3:$A$500,0))/$B$4,"")</f>
      </c>
      <c r="G19" s="11">
        <f>IF(INDEX(precios!$H$3:$H$500,MATCH($B19,precios!$A$3:$A$500,0))&gt;0,INDEX(precios!$H$3:$H$500,MATCH($B19,precios!$A$3:$A$500,0))/$B$4,"")</f>
      </c>
      <c r="H19" s="11">
        <f>IF(INDEX(precios!$I$3:$I$500,MATCH($B19,precios!$A$3:$A$500,0))&gt;0,INDEX(precios!$I$3:$I$500,MATCH($B19,precios!$A$3:$A$500,0))/$B$4,"")</f>
      </c>
      <c r="I19" s="11">
        <f>IF(INDEX(precios!$J$3:$J$500,MATCH($B19,precios!$A$3:$A$500,0))&gt;0,INDEX(precios!$J$3:$J$500,MATCH($B19,precios!$A$3:$A$500,0))/$B$4,"")</f>
      </c>
      <c r="J19" s="11">
        <f>IF(INDEX(precios!$K$3:$K$500,MATCH($B19,precios!$A$3:$A$500,0))&gt;0,INDEX(precios!$K$3:$K$500,MATCH($B19,precios!$A$3:$A$500,0))/$B$4,"")</f>
      </c>
      <c r="K19" s="11">
        <f>IF(INDEX(precios!$L$3:$L$500,MATCH($B19,precios!$A$3:$A$500,0))&gt;0,INDEX(precios!$L$3:$L$500,MATCH($B19,precios!$A$3:$A$500,0))/$B$4,"")</f>
      </c>
      <c r="L19" s="11">
        <f>IF(INDEX(precios!$M$3:$M$500,MATCH($B19,precios!$A$3:$A$500,0))&gt;0,INDEX(precios!$M$3:$M$500,MATCH($B19,precios!$A$3:$A$500,0))/$B$4,"")</f>
      </c>
      <c r="M19" s="11">
        <f>IF(INDEX(precios!$N$3:$N$500,MATCH($B19,precios!$A$3:$A$500,0))&gt;0,INDEX(precios!$N$3:$N$500,MATCH($B19,precios!$A$3:$A$500,0))/$B$4,"")</f>
      </c>
      <c r="N19" s="11">
        <f>SUM(D19:M19)</f>
      </c>
    </row>
    <row r="20" spans="1:14" x14ac:dyDescent="0.25">
      <c r="A20" t="s">
        <v>350</v>
      </c>
      <c r="B20" t="s">
        <v>13</v>
      </c>
      <c r="C20">
        <f>INDEX(precios!$C$3:$C$500,MATCH($B20,precios!$A$3:$A$500,0))</f>
      </c>
      <c r="D20" s="11">
        <f>IF(INDEX(precios!$E$3:$E$500,MATCH($B20,precios!$A$3:$A$500,0))&gt;0,INDEX(precios!$E$3:$E$500,MATCH($B20,precios!$A$3:$A$500,0))/$B$4,"")</f>
      </c>
      <c r="E20" s="11">
        <f>IF(INDEX(precios!$F$3:$F$500,MATCH($B20,precios!$A$3:$A$500,0))&gt;0,INDEX(precios!$F$3:$F$500,MATCH($B20,precios!$A$3:$A$500,0))/$B$4,"")</f>
      </c>
      <c r="F20" s="11">
        <f>IF(INDEX(precios!$G$3:$G$500,MATCH($B20,precios!$A$3:$A$500,0))&gt;0,INDEX(precios!$G$3:$G$500,MATCH($B20,precios!$A$3:$A$500,0))/$B$4,"")</f>
      </c>
      <c r="G20" s="11">
        <f>IF(INDEX(precios!$H$3:$H$500,MATCH($B20,precios!$A$3:$A$500,0))&gt;0,INDEX(precios!$H$3:$H$500,MATCH($B20,precios!$A$3:$A$500,0))/$B$4,"")</f>
      </c>
      <c r="H20" s="11">
        <f>IF(INDEX(precios!$I$3:$I$500,MATCH($B20,precios!$A$3:$A$500,0))&gt;0,INDEX(precios!$I$3:$I$500,MATCH($B20,precios!$A$3:$A$500,0))/$B$4,"")</f>
      </c>
      <c r="I20" s="11">
        <f>IF(INDEX(precios!$J$3:$J$500,MATCH($B20,precios!$A$3:$A$500,0))&gt;0,INDEX(precios!$J$3:$J$500,MATCH($B20,precios!$A$3:$A$500,0))/$B$4,"")</f>
      </c>
      <c r="J20" s="11">
        <f>IF(INDEX(precios!$K$3:$K$500,MATCH($B20,precios!$A$3:$A$500,0))&gt;0,INDEX(precios!$K$3:$K$500,MATCH($B20,precios!$A$3:$A$500,0))/$B$4,"")</f>
      </c>
      <c r="K20" s="11">
        <f>IF(INDEX(precios!$L$3:$L$500,MATCH($B20,precios!$A$3:$A$500,0))&gt;0,INDEX(precios!$L$3:$L$500,MATCH($B20,precios!$A$3:$A$500,0))/$B$4,"")</f>
      </c>
      <c r="L20" s="11">
        <f>IF(INDEX(precios!$M$3:$M$500,MATCH($B20,precios!$A$3:$A$500,0))&gt;0,INDEX(precios!$M$3:$M$500,MATCH($B20,precios!$A$3:$A$500,0))/$B$4,"")</f>
      </c>
      <c r="M20" s="11">
        <f>IF(INDEX(precios!$N$3:$N$500,MATCH($B20,precios!$A$3:$A$500,0))&gt;0,INDEX(precios!$N$3:$N$500,MATCH($B20,precios!$A$3:$A$500,0))/$B$4,"")</f>
      </c>
      <c r="N20" s="11">
        <f>SUM(D20:M20)</f>
      </c>
    </row>
    <row r="21" spans="1:14" x14ac:dyDescent="0.25">
      <c r="A21" t="s">
        <v>350</v>
      </c>
      <c r="B21" t="s">
        <v>369</v>
      </c>
      <c r="C21">
        <f>INDEX(precios!$C$3:$C$500,MATCH($B21,precios!$A$3:$A$500,0))</f>
      </c>
      <c r="D21" s="11">
        <f>IF(INDEX(precios!$E$3:$E$500,MATCH($B21,precios!$A$3:$A$500,0))&gt;0,INDEX(precios!$E$3:$E$500,MATCH($B21,precios!$A$3:$A$500,0))/$B$4,"")</f>
      </c>
      <c r="E21" s="11">
        <f>IF(INDEX(precios!$F$3:$F$500,MATCH($B21,precios!$A$3:$A$500,0))&gt;0,INDEX(precios!$F$3:$F$500,MATCH($B21,precios!$A$3:$A$500,0))/$B$4,"")</f>
      </c>
      <c r="F21" s="11">
        <f>IF(INDEX(precios!$G$3:$G$500,MATCH($B21,precios!$A$3:$A$500,0))&gt;0,INDEX(precios!$G$3:$G$500,MATCH($B21,precios!$A$3:$A$500,0))/$B$4,"")</f>
      </c>
      <c r="G21" s="11">
        <f>IF(INDEX(precios!$H$3:$H$500,MATCH($B21,precios!$A$3:$A$500,0))&gt;0,INDEX(precios!$H$3:$H$500,MATCH($B21,precios!$A$3:$A$500,0))/$B$4,"")</f>
      </c>
      <c r="H21" s="11">
        <f>IF(INDEX(precios!$I$3:$I$500,MATCH($B21,precios!$A$3:$A$500,0))&gt;0,INDEX(precios!$I$3:$I$500,MATCH($B21,precios!$A$3:$A$500,0))/$B$4,"")</f>
      </c>
      <c r="I21" s="11">
        <f>IF(INDEX(precios!$J$3:$J$500,MATCH($B21,precios!$A$3:$A$500,0))&gt;0,INDEX(precios!$J$3:$J$500,MATCH($B21,precios!$A$3:$A$500,0))/$B$4,"")</f>
      </c>
      <c r="J21" s="11">
        <f>IF(INDEX(precios!$K$3:$K$500,MATCH($B21,precios!$A$3:$A$500,0))&gt;0,INDEX(precios!$K$3:$K$500,MATCH($B21,precios!$A$3:$A$500,0))/$B$4,"")</f>
      </c>
      <c r="K21" s="11">
        <f>IF(INDEX(precios!$L$3:$L$500,MATCH($B21,precios!$A$3:$A$500,0))&gt;0,INDEX(precios!$L$3:$L$500,MATCH($B21,precios!$A$3:$A$500,0))/$B$4,"")</f>
      </c>
      <c r="L21" s="11">
        <f>IF(INDEX(precios!$M$3:$M$500,MATCH($B21,precios!$A$3:$A$500,0))&gt;0,INDEX(precios!$M$3:$M$500,MATCH($B21,precios!$A$3:$A$500,0))/$B$4,"")</f>
      </c>
      <c r="M21" s="11">
        <f>IF(INDEX(precios!$N$3:$N$500,MATCH($B21,precios!$A$3:$A$500,0))&gt;0,INDEX(precios!$N$3:$N$500,MATCH($B21,precios!$A$3:$A$500,0))/$B$4,"")</f>
      </c>
      <c r="N21" s="11">
        <f>SUM(D21:M21)</f>
      </c>
    </row>
    <row r="22" spans="1:14" x14ac:dyDescent="0.25">
      <c r="A22" t="s">
        <v>350</v>
      </c>
      <c r="B22" t="s">
        <v>371</v>
      </c>
      <c r="C22">
        <f>INDEX(precios!$C$3:$C$500,MATCH($B22,precios!$A$3:$A$500,0))</f>
      </c>
      <c r="D22" s="11">
        <f>IF(INDEX(precios!$E$3:$E$500,MATCH($B22,precios!$A$3:$A$500,0))&gt;0,INDEX(precios!$E$3:$E$500,MATCH($B22,precios!$A$3:$A$500,0))/$B$4,"")</f>
      </c>
      <c r="E22" s="11">
        <f>IF(INDEX(precios!$F$3:$F$500,MATCH($B22,precios!$A$3:$A$500,0))&gt;0,INDEX(precios!$F$3:$F$500,MATCH($B22,precios!$A$3:$A$500,0))/$B$4,"")</f>
      </c>
      <c r="F22" s="11">
        <f>IF(INDEX(precios!$G$3:$G$500,MATCH($B22,precios!$A$3:$A$500,0))&gt;0,INDEX(precios!$G$3:$G$500,MATCH($B22,precios!$A$3:$A$500,0))/$B$4,"")</f>
      </c>
      <c r="G22" s="11">
        <f>IF(INDEX(precios!$H$3:$H$500,MATCH($B22,precios!$A$3:$A$500,0))&gt;0,INDEX(precios!$H$3:$H$500,MATCH($B22,precios!$A$3:$A$500,0))/$B$4,"")</f>
      </c>
      <c r="H22" s="11">
        <f>IF(INDEX(precios!$I$3:$I$500,MATCH($B22,precios!$A$3:$A$500,0))&gt;0,INDEX(precios!$I$3:$I$500,MATCH($B22,precios!$A$3:$A$500,0))/$B$4,"")</f>
      </c>
      <c r="I22" s="11">
        <f>IF(INDEX(precios!$J$3:$J$500,MATCH($B22,precios!$A$3:$A$500,0))&gt;0,INDEX(precios!$J$3:$J$500,MATCH($B22,precios!$A$3:$A$500,0))/$B$4,"")</f>
      </c>
      <c r="J22" s="11">
        <f>IF(INDEX(precios!$K$3:$K$500,MATCH($B22,precios!$A$3:$A$500,0))&gt;0,INDEX(precios!$K$3:$K$500,MATCH($B22,precios!$A$3:$A$500,0))/$B$4,"")</f>
      </c>
      <c r="K22" s="11">
        <f>IF(INDEX(precios!$L$3:$L$500,MATCH($B22,precios!$A$3:$A$500,0))&gt;0,INDEX(precios!$L$3:$L$500,MATCH($B22,precios!$A$3:$A$500,0))/$B$4,"")</f>
      </c>
      <c r="L22" s="11">
        <f>IF(INDEX(precios!$M$3:$M$500,MATCH($B22,precios!$A$3:$A$500,0))&gt;0,INDEX(precios!$M$3:$M$500,MATCH($B22,precios!$A$3:$A$500,0))/$B$4,"")</f>
      </c>
      <c r="M22" s="11">
        <f>IF(INDEX(precios!$N$3:$N$500,MATCH($B22,precios!$A$3:$A$500,0))&gt;0,INDEX(precios!$N$3:$N$500,MATCH($B22,precios!$A$3:$A$500,0))/$B$4,"")</f>
      </c>
      <c r="N22" s="11">
        <f>SUM(D22:M22)</f>
      </c>
    </row>
    <row r="23" spans="1:14" x14ac:dyDescent="0.25">
      <c r="A23" t="s">
        <v>350</v>
      </c>
      <c r="B23" t="s">
        <v>373</v>
      </c>
      <c r="C23">
        <f>INDEX(precios!$C$3:$C$500,MATCH($B23,precios!$A$3:$A$500,0))</f>
      </c>
      <c r="D23" s="11">
        <f>IF(INDEX(precios!$E$3:$E$500,MATCH($B23,precios!$A$3:$A$500,0))&gt;0,INDEX(precios!$E$3:$E$500,MATCH($B23,precios!$A$3:$A$500,0))/$B$4,"")</f>
      </c>
      <c r="E23" s="11">
        <f>IF(INDEX(precios!$F$3:$F$500,MATCH($B23,precios!$A$3:$A$500,0))&gt;0,INDEX(precios!$F$3:$F$500,MATCH($B23,precios!$A$3:$A$500,0))/$B$4,"")</f>
      </c>
      <c r="F23" s="11">
        <f>IF(INDEX(precios!$G$3:$G$500,MATCH($B23,precios!$A$3:$A$500,0))&gt;0,INDEX(precios!$G$3:$G$500,MATCH($B23,precios!$A$3:$A$500,0))/$B$4,"")</f>
      </c>
      <c r="G23" s="11">
        <f>IF(INDEX(precios!$H$3:$H$500,MATCH($B23,precios!$A$3:$A$500,0))&gt;0,INDEX(precios!$H$3:$H$500,MATCH($B23,precios!$A$3:$A$500,0))/$B$4,"")</f>
      </c>
      <c r="H23" s="11">
        <f>IF(INDEX(precios!$I$3:$I$500,MATCH($B23,precios!$A$3:$A$500,0))&gt;0,INDEX(precios!$I$3:$I$500,MATCH($B23,precios!$A$3:$A$500,0))/$B$4,"")</f>
      </c>
      <c r="I23" s="11">
        <f>IF(INDEX(precios!$J$3:$J$500,MATCH($B23,precios!$A$3:$A$500,0))&gt;0,INDEX(precios!$J$3:$J$500,MATCH($B23,precios!$A$3:$A$500,0))/$B$4,"")</f>
      </c>
      <c r="J23" s="11">
        <f>IF(INDEX(precios!$K$3:$K$500,MATCH($B23,precios!$A$3:$A$500,0))&gt;0,INDEX(precios!$K$3:$K$500,MATCH($B23,precios!$A$3:$A$500,0))/$B$4,"")</f>
      </c>
      <c r="K23" s="11">
        <f>IF(INDEX(precios!$L$3:$L$500,MATCH($B23,precios!$A$3:$A$500,0))&gt;0,INDEX(precios!$L$3:$L$500,MATCH($B23,precios!$A$3:$A$500,0))/$B$4,"")</f>
      </c>
      <c r="L23" s="11">
        <f>IF(INDEX(precios!$M$3:$M$500,MATCH($B23,precios!$A$3:$A$500,0))&gt;0,INDEX(precios!$M$3:$M$500,MATCH($B23,precios!$A$3:$A$500,0))/$B$4,"")</f>
      </c>
      <c r="M23" s="11">
        <f>IF(INDEX(precios!$N$3:$N$500,MATCH($B23,precios!$A$3:$A$500,0))&gt;0,INDEX(precios!$N$3:$N$500,MATCH($B23,precios!$A$3:$A$500,0))/$B$4,"")</f>
      </c>
      <c r="N23" s="11">
        <f>SUM(D23:M23)</f>
      </c>
    </row>
    <row r="24" spans="1:14" x14ac:dyDescent="0.25">
      <c r="A24" t="s">
        <v>350</v>
      </c>
      <c r="B24" t="s">
        <v>375</v>
      </c>
      <c r="C24">
        <f>INDEX(precios!$C$3:$C$500,MATCH($B24,precios!$A$3:$A$500,0))</f>
      </c>
      <c r="D24" s="11">
        <f>IF(INDEX(precios!$E$3:$E$500,MATCH($B24,precios!$A$3:$A$500,0))&gt;0,INDEX(precios!$E$3:$E$500,MATCH($B24,precios!$A$3:$A$500,0))/$B$4,"")</f>
      </c>
      <c r="E24" s="11">
        <f>IF(INDEX(precios!$F$3:$F$500,MATCH($B24,precios!$A$3:$A$500,0))&gt;0,INDEX(precios!$F$3:$F$500,MATCH($B24,precios!$A$3:$A$500,0))/$B$4,"")</f>
      </c>
      <c r="F24" s="11">
        <f>IF(INDEX(precios!$G$3:$G$500,MATCH($B24,precios!$A$3:$A$500,0))&gt;0,INDEX(precios!$G$3:$G$500,MATCH($B24,precios!$A$3:$A$500,0))/$B$4,"")</f>
      </c>
      <c r="G24" s="11">
        <f>IF(INDEX(precios!$H$3:$H$500,MATCH($B24,precios!$A$3:$A$500,0))&gt;0,INDEX(precios!$H$3:$H$500,MATCH($B24,precios!$A$3:$A$500,0))/$B$4,"")</f>
      </c>
      <c r="H24" s="11">
        <f>IF(INDEX(precios!$I$3:$I$500,MATCH($B24,precios!$A$3:$A$500,0))&gt;0,INDEX(precios!$I$3:$I$500,MATCH($B24,precios!$A$3:$A$500,0))/$B$4,"")</f>
      </c>
      <c r="I24" s="11">
        <f>IF(INDEX(precios!$J$3:$J$500,MATCH($B24,precios!$A$3:$A$500,0))&gt;0,INDEX(precios!$J$3:$J$500,MATCH($B24,precios!$A$3:$A$500,0))/$B$4,"")</f>
      </c>
      <c r="J24" s="11">
        <f>IF(INDEX(precios!$K$3:$K$500,MATCH($B24,precios!$A$3:$A$500,0))&gt;0,INDEX(precios!$K$3:$K$500,MATCH($B24,precios!$A$3:$A$500,0))/$B$4,"")</f>
      </c>
      <c r="K24" s="11">
        <f>IF(INDEX(precios!$L$3:$L$500,MATCH($B24,precios!$A$3:$A$500,0))&gt;0,INDEX(precios!$L$3:$L$500,MATCH($B24,precios!$A$3:$A$500,0))/$B$4,"")</f>
      </c>
      <c r="L24" s="11">
        <f>IF(INDEX(precios!$M$3:$M$500,MATCH($B24,precios!$A$3:$A$500,0))&gt;0,INDEX(precios!$M$3:$M$500,MATCH($B24,precios!$A$3:$A$500,0))/$B$4,"")</f>
      </c>
      <c r="M24" s="11">
        <f>IF(INDEX(precios!$N$3:$N$500,MATCH($B24,precios!$A$3:$A$500,0))&gt;0,INDEX(precios!$N$3:$N$500,MATCH($B24,precios!$A$3:$A$500,0))/$B$4,"")</f>
      </c>
      <c r="N24" s="11">
        <f>SUM(D24:M24)</f>
      </c>
    </row>
    <row r="25" spans="1:14" x14ac:dyDescent="0.25">
      <c r="A25" t="s">
        <v>378</v>
      </c>
      <c r="B25" t="s">
        <v>377</v>
      </c>
      <c r="C25">
        <f>INDEX(precios!$C$3:$C$500,MATCH($B25,precios!$A$3:$A$500,0))</f>
      </c>
      <c r="D25" s="11">
        <f>IF(INDEX(precios!$E$3:$E$500,MATCH($B25,precios!$A$3:$A$500,0))&gt;0,INDEX(precios!$E$3:$E$500,MATCH($B25,precios!$A$3:$A$500,0))/$B$4,"")</f>
      </c>
      <c r="E25" s="11">
        <f>IF(INDEX(precios!$F$3:$F$500,MATCH($B25,precios!$A$3:$A$500,0))&gt;0,INDEX(precios!$F$3:$F$500,MATCH($B25,precios!$A$3:$A$500,0))/$B$4,"")</f>
      </c>
      <c r="F25" s="11">
        <f>IF(INDEX(precios!$G$3:$G$500,MATCH($B25,precios!$A$3:$A$500,0))&gt;0,INDEX(precios!$G$3:$G$500,MATCH($B25,precios!$A$3:$A$500,0))/$B$4,"")</f>
      </c>
      <c r="G25" s="11">
        <f>IF(INDEX(precios!$H$3:$H$500,MATCH($B25,precios!$A$3:$A$500,0))&gt;0,INDEX(precios!$H$3:$H$500,MATCH($B25,precios!$A$3:$A$500,0))/$B$4,"")</f>
      </c>
      <c r="H25" s="11">
        <f>IF(INDEX(precios!$I$3:$I$500,MATCH($B25,precios!$A$3:$A$500,0))&gt;0,INDEX(precios!$I$3:$I$500,MATCH($B25,precios!$A$3:$A$500,0))/$B$4,"")</f>
      </c>
      <c r="I25" s="11">
        <f>IF(INDEX(precios!$J$3:$J$500,MATCH($B25,precios!$A$3:$A$500,0))&gt;0,INDEX(precios!$J$3:$J$500,MATCH($B25,precios!$A$3:$A$500,0))/$B$4,"")</f>
      </c>
      <c r="J25" s="11">
        <f>IF(INDEX(precios!$K$3:$K$500,MATCH($B25,precios!$A$3:$A$500,0))&gt;0,INDEX(precios!$K$3:$K$500,MATCH($B25,precios!$A$3:$A$500,0))/$B$4,"")</f>
      </c>
      <c r="K25" s="11">
        <f>IF(INDEX(precios!$L$3:$L$500,MATCH($B25,precios!$A$3:$A$500,0))&gt;0,INDEX(precios!$L$3:$L$500,MATCH($B25,precios!$A$3:$A$500,0))/$B$4,"")</f>
      </c>
      <c r="L25" s="11">
        <f>IF(INDEX(precios!$M$3:$M$500,MATCH($B25,precios!$A$3:$A$500,0))&gt;0,INDEX(precios!$M$3:$M$500,MATCH($B25,precios!$A$3:$A$500,0))/$B$4,"")</f>
      </c>
      <c r="M25" s="11">
        <f>IF(INDEX(precios!$N$3:$N$500,MATCH($B25,precios!$A$3:$A$500,0))&gt;0,INDEX(precios!$N$3:$N$500,MATCH($B25,precios!$A$3:$A$500,0))/$B$4,"")</f>
      </c>
      <c r="N25" s="11">
        <f>SUM(D25:M25)</f>
      </c>
    </row>
    <row r="26" spans="1:14" x14ac:dyDescent="0.25">
      <c r="A26" t="s">
        <v>378</v>
      </c>
      <c r="B26" t="s">
        <v>380</v>
      </c>
      <c r="C26">
        <f>INDEX(precios!$C$3:$C$500,MATCH($B26,precios!$A$3:$A$500,0))</f>
      </c>
      <c r="D26" s="11">
        <f>IF(INDEX(precios!$E$3:$E$500,MATCH($B26,precios!$A$3:$A$500,0))&gt;0,INDEX(precios!$E$3:$E$500,MATCH($B26,precios!$A$3:$A$500,0))/$B$4,"")</f>
      </c>
      <c r="E26" s="11">
        <f>IF(INDEX(precios!$F$3:$F$500,MATCH($B26,precios!$A$3:$A$500,0))&gt;0,INDEX(precios!$F$3:$F$500,MATCH($B26,precios!$A$3:$A$500,0))/$B$4,"")</f>
      </c>
      <c r="F26" s="11">
        <f>IF(INDEX(precios!$G$3:$G$500,MATCH($B26,precios!$A$3:$A$500,0))&gt;0,INDEX(precios!$G$3:$G$500,MATCH($B26,precios!$A$3:$A$500,0))/$B$4,"")</f>
      </c>
      <c r="G26" s="11">
        <f>IF(INDEX(precios!$H$3:$H$500,MATCH($B26,precios!$A$3:$A$500,0))&gt;0,INDEX(precios!$H$3:$H$500,MATCH($B26,precios!$A$3:$A$500,0))/$B$4,"")</f>
      </c>
      <c r="H26" s="11">
        <f>IF(INDEX(precios!$I$3:$I$500,MATCH($B26,precios!$A$3:$A$500,0))&gt;0,INDEX(precios!$I$3:$I$500,MATCH($B26,precios!$A$3:$A$500,0))/$B$4,"")</f>
      </c>
      <c r="I26" s="11">
        <f>IF(INDEX(precios!$J$3:$J$500,MATCH($B26,precios!$A$3:$A$500,0))&gt;0,INDEX(precios!$J$3:$J$500,MATCH($B26,precios!$A$3:$A$500,0))/$B$4,"")</f>
      </c>
      <c r="J26" s="11">
        <f>IF(INDEX(precios!$K$3:$K$500,MATCH($B26,precios!$A$3:$A$500,0))&gt;0,INDEX(precios!$K$3:$K$500,MATCH($B26,precios!$A$3:$A$500,0))/$B$4,"")</f>
      </c>
      <c r="K26" s="11">
        <f>IF(INDEX(precios!$L$3:$L$500,MATCH($B26,precios!$A$3:$A$500,0))&gt;0,INDEX(precios!$L$3:$L$500,MATCH($B26,precios!$A$3:$A$500,0))/$B$4,"")</f>
      </c>
      <c r="L26" s="11">
        <f>IF(INDEX(precios!$M$3:$M$500,MATCH($B26,precios!$A$3:$A$500,0))&gt;0,INDEX(precios!$M$3:$M$500,MATCH($B26,precios!$A$3:$A$500,0))/$B$4,"")</f>
      </c>
      <c r="M26" s="11">
        <f>IF(INDEX(precios!$N$3:$N$500,MATCH($B26,precios!$A$3:$A$500,0))&gt;0,INDEX(precios!$N$3:$N$500,MATCH($B26,precios!$A$3:$A$500,0))/$B$4,"")</f>
      </c>
      <c r="N26" s="11">
        <f>SUM(D26:M26)</f>
      </c>
    </row>
    <row r="27" spans="1:14" x14ac:dyDescent="0.25">
      <c r="A27" t="s">
        <v>378</v>
      </c>
      <c r="B27" t="s">
        <v>382</v>
      </c>
      <c r="C27">
        <f>INDEX(precios!$C$3:$C$500,MATCH($B27,precios!$A$3:$A$500,0))</f>
      </c>
      <c r="D27" s="11">
        <f>IF(INDEX(precios!$E$3:$E$500,MATCH($B27,precios!$A$3:$A$500,0))&gt;0,INDEX(precios!$E$3:$E$500,MATCH($B27,precios!$A$3:$A$500,0))/$B$4,"")</f>
      </c>
      <c r="E27" s="11">
        <f>IF(INDEX(precios!$F$3:$F$500,MATCH($B27,precios!$A$3:$A$500,0))&gt;0,INDEX(precios!$F$3:$F$500,MATCH($B27,precios!$A$3:$A$500,0))/$B$4,"")</f>
      </c>
      <c r="F27" s="11">
        <f>IF(INDEX(precios!$G$3:$G$500,MATCH($B27,precios!$A$3:$A$500,0))&gt;0,INDEX(precios!$G$3:$G$500,MATCH($B27,precios!$A$3:$A$500,0))/$B$4,"")</f>
      </c>
      <c r="G27" s="11">
        <f>IF(INDEX(precios!$H$3:$H$500,MATCH($B27,precios!$A$3:$A$500,0))&gt;0,INDEX(precios!$H$3:$H$500,MATCH($B27,precios!$A$3:$A$500,0))/$B$4,"")</f>
      </c>
      <c r="H27" s="11">
        <f>IF(INDEX(precios!$I$3:$I$500,MATCH($B27,precios!$A$3:$A$500,0))&gt;0,INDEX(precios!$I$3:$I$500,MATCH($B27,precios!$A$3:$A$500,0))/$B$4,"")</f>
      </c>
      <c r="I27" s="11">
        <f>IF(INDEX(precios!$J$3:$J$500,MATCH($B27,precios!$A$3:$A$500,0))&gt;0,INDEX(precios!$J$3:$J$500,MATCH($B27,precios!$A$3:$A$500,0))/$B$4,"")</f>
      </c>
      <c r="J27" s="11">
        <f>IF(INDEX(precios!$K$3:$K$500,MATCH($B27,precios!$A$3:$A$500,0))&gt;0,INDEX(precios!$K$3:$K$500,MATCH($B27,precios!$A$3:$A$500,0))/$B$4,"")</f>
      </c>
      <c r="K27" s="11">
        <f>IF(INDEX(precios!$L$3:$L$500,MATCH($B27,precios!$A$3:$A$500,0))&gt;0,INDEX(precios!$L$3:$L$500,MATCH($B27,precios!$A$3:$A$500,0))/$B$4,"")</f>
      </c>
      <c r="L27" s="11">
        <f>IF(INDEX(precios!$M$3:$M$500,MATCH($B27,precios!$A$3:$A$500,0))&gt;0,INDEX(precios!$M$3:$M$500,MATCH($B27,precios!$A$3:$A$500,0))/$B$4,"")</f>
      </c>
      <c r="M27" s="11">
        <f>IF(INDEX(precios!$N$3:$N$500,MATCH($B27,precios!$A$3:$A$500,0))&gt;0,INDEX(precios!$N$3:$N$500,MATCH($B27,precios!$A$3:$A$500,0))/$B$4,"")</f>
      </c>
      <c r="N27" s="11">
        <f>SUM(D27:M27)</f>
      </c>
    </row>
    <row r="28" spans="1:14" x14ac:dyDescent="0.25">
      <c r="A28" t="s">
        <v>378</v>
      </c>
      <c r="B28" t="s">
        <v>384</v>
      </c>
      <c r="C28">
        <f>INDEX(precios!$C$3:$C$500,MATCH($B28,precios!$A$3:$A$500,0))</f>
      </c>
      <c r="D28" s="11">
        <f>IF(INDEX(precios!$E$3:$E$500,MATCH($B28,precios!$A$3:$A$500,0))&gt;0,INDEX(precios!$E$3:$E$500,MATCH($B28,precios!$A$3:$A$500,0))/$B$4,"")</f>
      </c>
      <c r="E28" s="11">
        <f>IF(INDEX(precios!$F$3:$F$500,MATCH($B28,precios!$A$3:$A$500,0))&gt;0,INDEX(precios!$F$3:$F$500,MATCH($B28,precios!$A$3:$A$500,0))/$B$4,"")</f>
      </c>
      <c r="F28" s="11">
        <f>IF(INDEX(precios!$G$3:$G$500,MATCH($B28,precios!$A$3:$A$500,0))&gt;0,INDEX(precios!$G$3:$G$500,MATCH($B28,precios!$A$3:$A$500,0))/$B$4,"")</f>
      </c>
      <c r="G28" s="11">
        <f>IF(INDEX(precios!$H$3:$H$500,MATCH($B28,precios!$A$3:$A$500,0))&gt;0,INDEX(precios!$H$3:$H$500,MATCH($B28,precios!$A$3:$A$500,0))/$B$4,"")</f>
      </c>
      <c r="H28" s="11">
        <f>IF(INDEX(precios!$I$3:$I$500,MATCH($B28,precios!$A$3:$A$500,0))&gt;0,INDEX(precios!$I$3:$I$500,MATCH($B28,precios!$A$3:$A$500,0))/$B$4,"")</f>
      </c>
      <c r="I28" s="11">
        <f>IF(INDEX(precios!$J$3:$J$500,MATCH($B28,precios!$A$3:$A$500,0))&gt;0,INDEX(precios!$J$3:$J$500,MATCH($B28,precios!$A$3:$A$500,0))/$B$4,"")</f>
      </c>
      <c r="J28" s="11">
        <f>IF(INDEX(precios!$K$3:$K$500,MATCH($B28,precios!$A$3:$A$500,0))&gt;0,INDEX(precios!$K$3:$K$500,MATCH($B28,precios!$A$3:$A$500,0))/$B$4,"")</f>
      </c>
      <c r="K28" s="11">
        <f>IF(INDEX(precios!$L$3:$L$500,MATCH($B28,precios!$A$3:$A$500,0))&gt;0,INDEX(precios!$L$3:$L$500,MATCH($B28,precios!$A$3:$A$500,0))/$B$4,"")</f>
      </c>
      <c r="L28" s="11">
        <f>IF(INDEX(precios!$M$3:$M$500,MATCH($B28,precios!$A$3:$A$500,0))&gt;0,INDEX(precios!$M$3:$M$500,MATCH($B28,precios!$A$3:$A$500,0))/$B$4,"")</f>
      </c>
      <c r="M28" s="11">
        <f>IF(INDEX(precios!$N$3:$N$500,MATCH($B28,precios!$A$3:$A$500,0))&gt;0,INDEX(precios!$N$3:$N$500,MATCH($B28,precios!$A$3:$A$500,0))/$B$4,"")</f>
      </c>
      <c r="N28" s="11">
        <f>SUM(D28:M28)</f>
      </c>
    </row>
    <row r="29" spans="1:14" x14ac:dyDescent="0.25">
      <c r="A29" t="s">
        <v>387</v>
      </c>
      <c r="B29" t="s">
        <v>386</v>
      </c>
      <c r="C29">
        <f>INDEX(precios!$C$3:$C$500,MATCH($B29,precios!$A$3:$A$500,0))</f>
      </c>
      <c r="D29" s="11">
        <f>IF(INDEX(precios!$E$3:$E$500,MATCH($B29,precios!$A$3:$A$500,0))&gt;0,INDEX(precios!$E$3:$E$500,MATCH($B29,precios!$A$3:$A$500,0))/$B$4,"")</f>
      </c>
      <c r="E29" s="11">
        <f>IF(INDEX(precios!$F$3:$F$500,MATCH($B29,precios!$A$3:$A$500,0))&gt;0,INDEX(precios!$F$3:$F$500,MATCH($B29,precios!$A$3:$A$500,0))/$B$4,"")</f>
      </c>
      <c r="F29" s="11">
        <f>IF(INDEX(precios!$G$3:$G$500,MATCH($B29,precios!$A$3:$A$500,0))&gt;0,INDEX(precios!$G$3:$G$500,MATCH($B29,precios!$A$3:$A$500,0))/$B$4,"")</f>
      </c>
      <c r="G29" s="11">
        <f>IF(INDEX(precios!$H$3:$H$500,MATCH($B29,precios!$A$3:$A$500,0))&gt;0,INDEX(precios!$H$3:$H$500,MATCH($B29,precios!$A$3:$A$500,0))/$B$4,"")</f>
      </c>
      <c r="H29" s="11">
        <f>IF(INDEX(precios!$I$3:$I$500,MATCH($B29,precios!$A$3:$A$500,0))&gt;0,INDEX(precios!$I$3:$I$500,MATCH($B29,precios!$A$3:$A$500,0))/$B$4,"")</f>
      </c>
      <c r="I29" s="11">
        <f>IF(INDEX(precios!$J$3:$J$500,MATCH($B29,precios!$A$3:$A$500,0))&gt;0,INDEX(precios!$J$3:$J$500,MATCH($B29,precios!$A$3:$A$500,0))/$B$4,"")</f>
      </c>
      <c r="J29" s="11">
        <f>IF(INDEX(precios!$K$3:$K$500,MATCH($B29,precios!$A$3:$A$500,0))&gt;0,INDEX(precios!$K$3:$K$500,MATCH($B29,precios!$A$3:$A$500,0))/$B$4,"")</f>
      </c>
      <c r="K29" s="11">
        <f>IF(INDEX(precios!$L$3:$L$500,MATCH($B29,precios!$A$3:$A$500,0))&gt;0,INDEX(precios!$L$3:$L$500,MATCH($B29,precios!$A$3:$A$500,0))/$B$4,"")</f>
      </c>
      <c r="L29" s="11">
        <f>IF(INDEX(precios!$M$3:$M$500,MATCH($B29,precios!$A$3:$A$500,0))&gt;0,INDEX(precios!$M$3:$M$500,MATCH($B29,precios!$A$3:$A$500,0))/$B$4,"")</f>
      </c>
      <c r="M29" s="11">
        <f>IF(INDEX(precios!$N$3:$N$500,MATCH($B29,precios!$A$3:$A$500,0))&gt;0,INDEX(precios!$N$3:$N$500,MATCH($B29,precios!$A$3:$A$500,0))/$B$4,"")</f>
      </c>
      <c r="N29" s="11">
        <f>SUM(D29:M29)</f>
      </c>
    </row>
    <row r="30" spans="1:14" x14ac:dyDescent="0.25">
      <c r="A30" t="s">
        <v>387</v>
      </c>
      <c r="B30" t="s">
        <v>389</v>
      </c>
      <c r="C30">
        <f>INDEX(precios!$C$3:$C$500,MATCH($B30,precios!$A$3:$A$500,0))</f>
      </c>
      <c r="D30" s="11">
        <f>IF(INDEX(precios!$E$3:$E$500,MATCH($B30,precios!$A$3:$A$500,0))&gt;0,INDEX(precios!$E$3:$E$500,MATCH($B30,precios!$A$3:$A$500,0))/$B$4,"")</f>
      </c>
      <c r="E30" s="11">
        <f>IF(INDEX(precios!$F$3:$F$500,MATCH($B30,precios!$A$3:$A$500,0))&gt;0,INDEX(precios!$F$3:$F$500,MATCH($B30,precios!$A$3:$A$500,0))/$B$4,"")</f>
      </c>
      <c r="F30" s="11">
        <f>IF(INDEX(precios!$G$3:$G$500,MATCH($B30,precios!$A$3:$A$500,0))&gt;0,INDEX(precios!$G$3:$G$500,MATCH($B30,precios!$A$3:$A$500,0))/$B$4,"")</f>
      </c>
      <c r="G30" s="11">
        <f>IF(INDEX(precios!$H$3:$H$500,MATCH($B30,precios!$A$3:$A$500,0))&gt;0,INDEX(precios!$H$3:$H$500,MATCH($B30,precios!$A$3:$A$500,0))/$B$4,"")</f>
      </c>
      <c r="H30" s="11">
        <f>IF(INDEX(precios!$I$3:$I$500,MATCH($B30,precios!$A$3:$A$500,0))&gt;0,INDEX(precios!$I$3:$I$500,MATCH($B30,precios!$A$3:$A$500,0))/$B$4,"")</f>
      </c>
      <c r="I30" s="11">
        <f>IF(INDEX(precios!$J$3:$J$500,MATCH($B30,precios!$A$3:$A$500,0))&gt;0,INDEX(precios!$J$3:$J$500,MATCH($B30,precios!$A$3:$A$500,0))/$B$4,"")</f>
      </c>
      <c r="J30" s="11">
        <f>IF(INDEX(precios!$K$3:$K$500,MATCH($B30,precios!$A$3:$A$500,0))&gt;0,INDEX(precios!$K$3:$K$500,MATCH($B30,precios!$A$3:$A$500,0))/$B$4,"")</f>
      </c>
      <c r="K30" s="11">
        <f>IF(INDEX(precios!$L$3:$L$500,MATCH($B30,precios!$A$3:$A$500,0))&gt;0,INDEX(precios!$L$3:$L$500,MATCH($B30,precios!$A$3:$A$500,0))/$B$4,"")</f>
      </c>
      <c r="L30" s="11">
        <f>IF(INDEX(precios!$M$3:$M$500,MATCH($B30,precios!$A$3:$A$500,0))&gt;0,INDEX(precios!$M$3:$M$500,MATCH($B30,precios!$A$3:$A$500,0))/$B$4,"")</f>
      </c>
      <c r="M30" s="11">
        <f>IF(INDEX(precios!$N$3:$N$500,MATCH($B30,precios!$A$3:$A$500,0))&gt;0,INDEX(precios!$N$3:$N$500,MATCH($B30,precios!$A$3:$A$500,0))/$B$4,"")</f>
      </c>
      <c r="N30" s="11">
        <f>SUM(D30:M30)</f>
      </c>
    </row>
    <row r="31" spans="1:14" x14ac:dyDescent="0.25">
      <c r="A31" t="s">
        <v>387</v>
      </c>
      <c r="B31" t="s">
        <v>391</v>
      </c>
      <c r="C31">
        <f>INDEX(precios!$C$3:$C$500,MATCH($B31,precios!$A$3:$A$500,0))</f>
      </c>
      <c r="D31" s="11">
        <f>IF(INDEX(precios!$E$3:$E$500,MATCH($B31,precios!$A$3:$A$500,0))&gt;0,INDEX(precios!$E$3:$E$500,MATCH($B31,precios!$A$3:$A$500,0))/$B$4,"")</f>
      </c>
      <c r="E31" s="11">
        <f>IF(INDEX(precios!$F$3:$F$500,MATCH($B31,precios!$A$3:$A$500,0))&gt;0,INDEX(precios!$F$3:$F$500,MATCH($B31,precios!$A$3:$A$500,0))/$B$4,"")</f>
      </c>
      <c r="F31" s="11">
        <f>IF(INDEX(precios!$G$3:$G$500,MATCH($B31,precios!$A$3:$A$500,0))&gt;0,INDEX(precios!$G$3:$G$500,MATCH($B31,precios!$A$3:$A$500,0))/$B$4,"")</f>
      </c>
      <c r="G31" s="11">
        <f>IF(INDEX(precios!$H$3:$H$500,MATCH($B31,precios!$A$3:$A$500,0))&gt;0,INDEX(precios!$H$3:$H$500,MATCH($B31,precios!$A$3:$A$500,0))/$B$4,"")</f>
      </c>
      <c r="H31" s="11">
        <f>IF(INDEX(precios!$I$3:$I$500,MATCH($B31,precios!$A$3:$A$500,0))&gt;0,INDEX(precios!$I$3:$I$500,MATCH($B31,precios!$A$3:$A$500,0))/$B$4,"")</f>
      </c>
      <c r="I31" s="11">
        <f>IF(INDEX(precios!$J$3:$J$500,MATCH($B31,precios!$A$3:$A$500,0))&gt;0,INDEX(precios!$J$3:$J$500,MATCH($B31,precios!$A$3:$A$500,0))/$B$4,"")</f>
      </c>
      <c r="J31" s="11">
        <f>IF(INDEX(precios!$K$3:$K$500,MATCH($B31,precios!$A$3:$A$500,0))&gt;0,INDEX(precios!$K$3:$K$500,MATCH($B31,precios!$A$3:$A$500,0))/$B$4,"")</f>
      </c>
      <c r="K31" s="11">
        <f>IF(INDEX(precios!$L$3:$L$500,MATCH($B31,precios!$A$3:$A$500,0))&gt;0,INDEX(precios!$L$3:$L$500,MATCH($B31,precios!$A$3:$A$500,0))/$B$4,"")</f>
      </c>
      <c r="L31" s="11">
        <f>IF(INDEX(precios!$M$3:$M$500,MATCH($B31,precios!$A$3:$A$500,0))&gt;0,INDEX(precios!$M$3:$M$500,MATCH($B31,precios!$A$3:$A$500,0))/$B$4,"")</f>
      </c>
      <c r="M31" s="11">
        <f>IF(INDEX(precios!$N$3:$N$500,MATCH($B31,precios!$A$3:$A$500,0))&gt;0,INDEX(precios!$N$3:$N$500,MATCH($B31,precios!$A$3:$A$500,0))/$B$4,"")</f>
      </c>
      <c r="N31" s="11">
        <f>SUM(D31:M31)</f>
      </c>
    </row>
    <row r="32" spans="1:14" x14ac:dyDescent="0.25">
      <c r="A32" t="s">
        <v>387</v>
      </c>
      <c r="B32" t="s">
        <v>393</v>
      </c>
      <c r="C32">
        <f>INDEX(precios!$C$3:$C$500,MATCH($B32,precios!$A$3:$A$500,0))</f>
      </c>
      <c r="D32" s="11">
        <f>IF(INDEX(precios!$E$3:$E$500,MATCH($B32,precios!$A$3:$A$500,0))&gt;0,INDEX(precios!$E$3:$E$500,MATCH($B32,precios!$A$3:$A$500,0))/$B$4,"")</f>
      </c>
      <c r="E32" s="11">
        <f>IF(INDEX(precios!$F$3:$F$500,MATCH($B32,precios!$A$3:$A$500,0))&gt;0,INDEX(precios!$F$3:$F$500,MATCH($B32,precios!$A$3:$A$500,0))/$B$4,"")</f>
      </c>
      <c r="F32" s="11">
        <f>IF(INDEX(precios!$G$3:$G$500,MATCH($B32,precios!$A$3:$A$500,0))&gt;0,INDEX(precios!$G$3:$G$500,MATCH($B32,precios!$A$3:$A$500,0))/$B$4,"")</f>
      </c>
      <c r="G32" s="11">
        <f>IF(INDEX(precios!$H$3:$H$500,MATCH($B32,precios!$A$3:$A$500,0))&gt;0,INDEX(precios!$H$3:$H$500,MATCH($B32,precios!$A$3:$A$500,0))/$B$4,"")</f>
      </c>
      <c r="H32" s="11">
        <f>IF(INDEX(precios!$I$3:$I$500,MATCH($B32,precios!$A$3:$A$500,0))&gt;0,INDEX(precios!$I$3:$I$500,MATCH($B32,precios!$A$3:$A$500,0))/$B$4,"")</f>
      </c>
      <c r="I32" s="11">
        <f>IF(INDEX(precios!$J$3:$J$500,MATCH($B32,precios!$A$3:$A$500,0))&gt;0,INDEX(precios!$J$3:$J$500,MATCH($B32,precios!$A$3:$A$500,0))/$B$4,"")</f>
      </c>
      <c r="J32" s="11">
        <f>IF(INDEX(precios!$K$3:$K$500,MATCH($B32,precios!$A$3:$A$500,0))&gt;0,INDEX(precios!$K$3:$K$500,MATCH($B32,precios!$A$3:$A$500,0))/$B$4,"")</f>
      </c>
      <c r="K32" s="11">
        <f>IF(INDEX(precios!$L$3:$L$500,MATCH($B32,precios!$A$3:$A$500,0))&gt;0,INDEX(precios!$L$3:$L$500,MATCH($B32,precios!$A$3:$A$500,0))/$B$4,"")</f>
      </c>
      <c r="L32" s="11">
        <f>IF(INDEX(precios!$M$3:$M$500,MATCH($B32,precios!$A$3:$A$500,0))&gt;0,INDEX(precios!$M$3:$M$500,MATCH($B32,precios!$A$3:$A$500,0))/$B$4,"")</f>
      </c>
      <c r="M32" s="11">
        <f>IF(INDEX(precios!$N$3:$N$500,MATCH($B32,precios!$A$3:$A$500,0))&gt;0,INDEX(precios!$N$3:$N$500,MATCH($B32,precios!$A$3:$A$500,0))/$B$4,"")</f>
      </c>
      <c r="N32" s="11">
        <f>SUM(D32:M32)</f>
      </c>
    </row>
    <row r="33" spans="1:14" x14ac:dyDescent="0.25">
      <c r="A33" t="s">
        <v>387</v>
      </c>
      <c r="B33" t="s">
        <v>395</v>
      </c>
      <c r="C33">
        <f>INDEX(precios!$C$3:$C$500,MATCH($B33,precios!$A$3:$A$500,0))</f>
      </c>
      <c r="D33" s="11">
        <f>IF(INDEX(precios!$E$3:$E$500,MATCH($B33,precios!$A$3:$A$500,0))&gt;0,INDEX(precios!$E$3:$E$500,MATCH($B33,precios!$A$3:$A$500,0))/$B$4,"")</f>
      </c>
      <c r="E33" s="11">
        <f>IF(INDEX(precios!$F$3:$F$500,MATCH($B33,precios!$A$3:$A$500,0))&gt;0,INDEX(precios!$F$3:$F$500,MATCH($B33,precios!$A$3:$A$500,0))/$B$4,"")</f>
      </c>
      <c r="F33" s="11">
        <f>IF(INDEX(precios!$G$3:$G$500,MATCH($B33,precios!$A$3:$A$500,0))&gt;0,INDEX(precios!$G$3:$G$500,MATCH($B33,precios!$A$3:$A$500,0))/$B$4,"")</f>
      </c>
      <c r="G33" s="11">
        <f>IF(INDEX(precios!$H$3:$H$500,MATCH($B33,precios!$A$3:$A$500,0))&gt;0,INDEX(precios!$H$3:$H$500,MATCH($B33,precios!$A$3:$A$500,0))/$B$4,"")</f>
      </c>
      <c r="H33" s="11">
        <f>IF(INDEX(precios!$I$3:$I$500,MATCH($B33,precios!$A$3:$A$500,0))&gt;0,INDEX(precios!$I$3:$I$500,MATCH($B33,precios!$A$3:$A$500,0))/$B$4,"")</f>
      </c>
      <c r="I33" s="11">
        <f>IF(INDEX(precios!$J$3:$J$500,MATCH($B33,precios!$A$3:$A$500,0))&gt;0,INDEX(precios!$J$3:$J$500,MATCH($B33,precios!$A$3:$A$500,0))/$B$4,"")</f>
      </c>
      <c r="J33" s="11">
        <f>IF(INDEX(precios!$K$3:$K$500,MATCH($B33,precios!$A$3:$A$500,0))&gt;0,INDEX(precios!$K$3:$K$500,MATCH($B33,precios!$A$3:$A$500,0))/$B$4,"")</f>
      </c>
      <c r="K33" s="11">
        <f>IF(INDEX(precios!$L$3:$L$500,MATCH($B33,precios!$A$3:$A$500,0))&gt;0,INDEX(precios!$L$3:$L$500,MATCH($B33,precios!$A$3:$A$500,0))/$B$4,"")</f>
      </c>
      <c r="L33" s="11">
        <f>IF(INDEX(precios!$M$3:$M$500,MATCH($B33,precios!$A$3:$A$500,0))&gt;0,INDEX(precios!$M$3:$M$500,MATCH($B33,precios!$A$3:$A$500,0))/$B$4,"")</f>
      </c>
      <c r="M33" s="11">
        <f>IF(INDEX(precios!$N$3:$N$500,MATCH($B33,precios!$A$3:$A$500,0))&gt;0,INDEX(precios!$N$3:$N$500,MATCH($B33,precios!$A$3:$A$500,0))/$B$4,"")</f>
      </c>
      <c r="N33" s="11">
        <f>SUM(D33:M33)</f>
      </c>
    </row>
    <row r="34" spans="1:14" x14ac:dyDescent="0.25">
      <c r="A34" t="s">
        <v>387</v>
      </c>
      <c r="B34" t="s">
        <v>397</v>
      </c>
      <c r="C34">
        <f>INDEX(precios!$C$3:$C$500,MATCH($B34,precios!$A$3:$A$500,0))</f>
      </c>
      <c r="D34" s="11">
        <f>IF(INDEX(precios!$E$3:$E$500,MATCH($B34,precios!$A$3:$A$500,0))&gt;0,INDEX(precios!$E$3:$E$500,MATCH($B34,precios!$A$3:$A$500,0))/$B$4,"")</f>
      </c>
      <c r="E34" s="11">
        <f>IF(INDEX(precios!$F$3:$F$500,MATCH($B34,precios!$A$3:$A$500,0))&gt;0,INDEX(precios!$F$3:$F$500,MATCH($B34,precios!$A$3:$A$500,0))/$B$4,"")</f>
      </c>
      <c r="F34" s="11">
        <f>IF(INDEX(precios!$G$3:$G$500,MATCH($B34,precios!$A$3:$A$500,0))&gt;0,INDEX(precios!$G$3:$G$500,MATCH($B34,precios!$A$3:$A$500,0))/$B$4,"")</f>
      </c>
      <c r="G34" s="11">
        <f>IF(INDEX(precios!$H$3:$H$500,MATCH($B34,precios!$A$3:$A$500,0))&gt;0,INDEX(precios!$H$3:$H$500,MATCH($B34,precios!$A$3:$A$500,0))/$B$4,"")</f>
      </c>
      <c r="H34" s="11">
        <f>IF(INDEX(precios!$I$3:$I$500,MATCH($B34,precios!$A$3:$A$500,0))&gt;0,INDEX(precios!$I$3:$I$500,MATCH($B34,precios!$A$3:$A$500,0))/$B$4,"")</f>
      </c>
      <c r="I34" s="11">
        <f>IF(INDEX(precios!$J$3:$J$500,MATCH($B34,precios!$A$3:$A$500,0))&gt;0,INDEX(precios!$J$3:$J$500,MATCH($B34,precios!$A$3:$A$500,0))/$B$4,"")</f>
      </c>
      <c r="J34" s="11">
        <f>IF(INDEX(precios!$K$3:$K$500,MATCH($B34,precios!$A$3:$A$500,0))&gt;0,INDEX(precios!$K$3:$K$500,MATCH($B34,precios!$A$3:$A$500,0))/$B$4,"")</f>
      </c>
      <c r="K34" s="11">
        <f>IF(INDEX(precios!$L$3:$L$500,MATCH($B34,precios!$A$3:$A$500,0))&gt;0,INDEX(precios!$L$3:$L$500,MATCH($B34,precios!$A$3:$A$500,0))/$B$4,"")</f>
      </c>
      <c r="L34" s="11">
        <f>IF(INDEX(precios!$M$3:$M$500,MATCH($B34,precios!$A$3:$A$500,0))&gt;0,INDEX(precios!$M$3:$M$500,MATCH($B34,precios!$A$3:$A$500,0))/$B$4,"")</f>
      </c>
      <c r="M34" s="11">
        <f>IF(INDEX(precios!$N$3:$N$500,MATCH($B34,precios!$A$3:$A$500,0))&gt;0,INDEX(precios!$N$3:$N$500,MATCH($B34,precios!$A$3:$A$500,0))/$B$4,"")</f>
      </c>
      <c r="N34" s="11">
        <f>SUM(D34:M34)</f>
      </c>
    </row>
    <row r="35" spans="1:14" x14ac:dyDescent="0.25">
      <c r="A35" t="s">
        <v>387</v>
      </c>
      <c r="B35" t="s">
        <v>399</v>
      </c>
      <c r="C35">
        <f>INDEX(precios!$C$3:$C$500,MATCH($B35,precios!$A$3:$A$500,0))</f>
      </c>
      <c r="D35" s="11">
        <f>IF(INDEX(precios!$E$3:$E$500,MATCH($B35,precios!$A$3:$A$500,0))&gt;0,INDEX(precios!$E$3:$E$500,MATCH($B35,precios!$A$3:$A$500,0))/$B$4,"")</f>
      </c>
      <c r="E35" s="11">
        <f>IF(INDEX(precios!$F$3:$F$500,MATCH($B35,precios!$A$3:$A$500,0))&gt;0,INDEX(precios!$F$3:$F$500,MATCH($B35,precios!$A$3:$A$500,0))/$B$4,"")</f>
      </c>
      <c r="F35" s="11">
        <f>IF(INDEX(precios!$G$3:$G$500,MATCH($B35,precios!$A$3:$A$500,0))&gt;0,INDEX(precios!$G$3:$G$500,MATCH($B35,precios!$A$3:$A$500,0))/$B$4,"")</f>
      </c>
      <c r="G35" s="11">
        <f>IF(INDEX(precios!$H$3:$H$500,MATCH($B35,precios!$A$3:$A$500,0))&gt;0,INDEX(precios!$H$3:$H$500,MATCH($B35,precios!$A$3:$A$500,0))/$B$4,"")</f>
      </c>
      <c r="H35" s="11">
        <f>IF(INDEX(precios!$I$3:$I$500,MATCH($B35,precios!$A$3:$A$500,0))&gt;0,INDEX(precios!$I$3:$I$500,MATCH($B35,precios!$A$3:$A$500,0))/$B$4,"")</f>
      </c>
      <c r="I35" s="11">
        <f>IF(INDEX(precios!$J$3:$J$500,MATCH($B35,precios!$A$3:$A$500,0))&gt;0,INDEX(precios!$J$3:$J$500,MATCH($B35,precios!$A$3:$A$500,0))/$B$4,"")</f>
      </c>
      <c r="J35" s="11">
        <f>IF(INDEX(precios!$K$3:$K$500,MATCH($B35,precios!$A$3:$A$500,0))&gt;0,INDEX(precios!$K$3:$K$500,MATCH($B35,precios!$A$3:$A$500,0))/$B$4,"")</f>
      </c>
      <c r="K35" s="11">
        <f>IF(INDEX(precios!$L$3:$L$500,MATCH($B35,precios!$A$3:$A$500,0))&gt;0,INDEX(precios!$L$3:$L$500,MATCH($B35,precios!$A$3:$A$500,0))/$B$4,"")</f>
      </c>
      <c r="L35" s="11">
        <f>IF(INDEX(precios!$M$3:$M$500,MATCH($B35,precios!$A$3:$A$500,0))&gt;0,INDEX(precios!$M$3:$M$500,MATCH($B35,precios!$A$3:$A$500,0))/$B$4,"")</f>
      </c>
      <c r="M35" s="11">
        <f>IF(INDEX(precios!$N$3:$N$500,MATCH($B35,precios!$A$3:$A$500,0))&gt;0,INDEX(precios!$N$3:$N$500,MATCH($B35,precios!$A$3:$A$500,0))/$B$4,"")</f>
      </c>
      <c r="N35" s="11">
        <f>SUM(D35:M35)</f>
      </c>
    </row>
    <row r="36" spans="1:14" x14ac:dyDescent="0.25">
      <c r="A36" t="s">
        <v>387</v>
      </c>
      <c r="B36" t="s">
        <v>401</v>
      </c>
      <c r="C36">
        <f>INDEX(precios!$C$3:$C$500,MATCH($B36,precios!$A$3:$A$500,0))</f>
      </c>
      <c r="D36" s="11">
        <f>IF(INDEX(precios!$E$3:$E$500,MATCH($B36,precios!$A$3:$A$500,0))&gt;0,INDEX(precios!$E$3:$E$500,MATCH($B36,precios!$A$3:$A$500,0))/$B$4,"")</f>
      </c>
      <c r="E36" s="11">
        <f>IF(INDEX(precios!$F$3:$F$500,MATCH($B36,precios!$A$3:$A$500,0))&gt;0,INDEX(precios!$F$3:$F$500,MATCH($B36,precios!$A$3:$A$500,0))/$B$4,"")</f>
      </c>
      <c r="F36" s="11">
        <f>IF(INDEX(precios!$G$3:$G$500,MATCH($B36,precios!$A$3:$A$500,0))&gt;0,INDEX(precios!$G$3:$G$500,MATCH($B36,precios!$A$3:$A$500,0))/$B$4,"")</f>
      </c>
      <c r="G36" s="11">
        <f>IF(INDEX(precios!$H$3:$H$500,MATCH($B36,precios!$A$3:$A$500,0))&gt;0,INDEX(precios!$H$3:$H$500,MATCH($B36,precios!$A$3:$A$500,0))/$B$4,"")</f>
      </c>
      <c r="H36" s="11">
        <f>IF(INDEX(precios!$I$3:$I$500,MATCH($B36,precios!$A$3:$A$500,0))&gt;0,INDEX(precios!$I$3:$I$500,MATCH($B36,precios!$A$3:$A$500,0))/$B$4,"")</f>
      </c>
      <c r="I36" s="11">
        <f>IF(INDEX(precios!$J$3:$J$500,MATCH($B36,precios!$A$3:$A$500,0))&gt;0,INDEX(precios!$J$3:$J$500,MATCH($B36,precios!$A$3:$A$500,0))/$B$4,"")</f>
      </c>
      <c r="J36" s="11">
        <f>IF(INDEX(precios!$K$3:$K$500,MATCH($B36,precios!$A$3:$A$500,0))&gt;0,INDEX(precios!$K$3:$K$500,MATCH($B36,precios!$A$3:$A$500,0))/$B$4,"")</f>
      </c>
      <c r="K36" s="11">
        <f>IF(INDEX(precios!$L$3:$L$500,MATCH($B36,precios!$A$3:$A$500,0))&gt;0,INDEX(precios!$L$3:$L$500,MATCH($B36,precios!$A$3:$A$500,0))/$B$4,"")</f>
      </c>
      <c r="L36" s="11">
        <f>IF(INDEX(precios!$M$3:$M$500,MATCH($B36,precios!$A$3:$A$500,0))&gt;0,INDEX(precios!$M$3:$M$500,MATCH($B36,precios!$A$3:$A$500,0))/$B$4,"")</f>
      </c>
      <c r="M36" s="11">
        <f>IF(INDEX(precios!$N$3:$N$500,MATCH($B36,precios!$A$3:$A$500,0))&gt;0,INDEX(precios!$N$3:$N$500,MATCH($B36,precios!$A$3:$A$500,0))/$B$4,"")</f>
      </c>
      <c r="N36" s="11">
        <f>SUM(D36:M36)</f>
      </c>
    </row>
    <row r="37" spans="1:14" x14ac:dyDescent="0.25">
      <c r="A37" t="s">
        <v>387</v>
      </c>
      <c r="B37" t="s">
        <v>403</v>
      </c>
      <c r="C37">
        <f>INDEX(precios!$C$3:$C$500,MATCH($B37,precios!$A$3:$A$500,0))</f>
      </c>
      <c r="D37" s="11">
        <f>IF(INDEX(precios!$E$3:$E$500,MATCH($B37,precios!$A$3:$A$500,0))&gt;0,INDEX(precios!$E$3:$E$500,MATCH($B37,precios!$A$3:$A$500,0))/$B$4,"")</f>
      </c>
      <c r="E37" s="11">
        <f>IF(INDEX(precios!$F$3:$F$500,MATCH($B37,precios!$A$3:$A$500,0))&gt;0,INDEX(precios!$F$3:$F$500,MATCH($B37,precios!$A$3:$A$500,0))/$B$4,"")</f>
      </c>
      <c r="F37" s="11">
        <f>IF(INDEX(precios!$G$3:$G$500,MATCH($B37,precios!$A$3:$A$500,0))&gt;0,INDEX(precios!$G$3:$G$500,MATCH($B37,precios!$A$3:$A$500,0))/$B$4,"")</f>
      </c>
      <c r="G37" s="11">
        <f>IF(INDEX(precios!$H$3:$H$500,MATCH($B37,precios!$A$3:$A$500,0))&gt;0,INDEX(precios!$H$3:$H$500,MATCH($B37,precios!$A$3:$A$500,0))/$B$4,"")</f>
      </c>
      <c r="H37" s="11">
        <f>IF(INDEX(precios!$I$3:$I$500,MATCH($B37,precios!$A$3:$A$500,0))&gt;0,INDEX(precios!$I$3:$I$500,MATCH($B37,precios!$A$3:$A$500,0))/$B$4,"")</f>
      </c>
      <c r="I37" s="11">
        <f>IF(INDEX(precios!$J$3:$J$500,MATCH($B37,precios!$A$3:$A$500,0))&gt;0,INDEX(precios!$J$3:$J$500,MATCH($B37,precios!$A$3:$A$500,0))/$B$4,"")</f>
      </c>
      <c r="J37" s="11">
        <f>IF(INDEX(precios!$K$3:$K$500,MATCH($B37,precios!$A$3:$A$500,0))&gt;0,INDEX(precios!$K$3:$K$500,MATCH($B37,precios!$A$3:$A$500,0))/$B$4,"")</f>
      </c>
      <c r="K37" s="11">
        <f>IF(INDEX(precios!$L$3:$L$500,MATCH($B37,precios!$A$3:$A$500,0))&gt;0,INDEX(precios!$L$3:$L$500,MATCH($B37,precios!$A$3:$A$500,0))/$B$4,"")</f>
      </c>
      <c r="L37" s="11">
        <f>IF(INDEX(precios!$M$3:$M$500,MATCH($B37,precios!$A$3:$A$500,0))&gt;0,INDEX(precios!$M$3:$M$500,MATCH($B37,precios!$A$3:$A$500,0))/$B$4,"")</f>
      </c>
      <c r="M37" s="11">
        <f>IF(INDEX(precios!$N$3:$N$500,MATCH($B37,precios!$A$3:$A$500,0))&gt;0,INDEX(precios!$N$3:$N$500,MATCH($B37,precios!$A$3:$A$500,0))/$B$4,"")</f>
      </c>
      <c r="N37" s="11">
        <f>SUM(D37:M37)</f>
      </c>
    </row>
    <row r="38" spans="1:14" x14ac:dyDescent="0.25">
      <c r="A38" t="s">
        <v>387</v>
      </c>
      <c r="B38" t="s">
        <v>405</v>
      </c>
      <c r="C38">
        <f>INDEX(precios!$C$3:$C$500,MATCH($B38,precios!$A$3:$A$500,0))</f>
      </c>
      <c r="D38" s="11">
        <f>IF(INDEX(precios!$E$3:$E$500,MATCH($B38,precios!$A$3:$A$500,0))&gt;0,INDEX(precios!$E$3:$E$500,MATCH($B38,precios!$A$3:$A$500,0))/$B$4,"")</f>
      </c>
      <c r="E38" s="11">
        <f>IF(INDEX(precios!$F$3:$F$500,MATCH($B38,precios!$A$3:$A$500,0))&gt;0,INDEX(precios!$F$3:$F$500,MATCH($B38,precios!$A$3:$A$500,0))/$B$4,"")</f>
      </c>
      <c r="F38" s="11">
        <f>IF(INDEX(precios!$G$3:$G$500,MATCH($B38,precios!$A$3:$A$500,0))&gt;0,INDEX(precios!$G$3:$G$500,MATCH($B38,precios!$A$3:$A$500,0))/$B$4,"")</f>
      </c>
      <c r="G38" s="11">
        <f>IF(INDEX(precios!$H$3:$H$500,MATCH($B38,precios!$A$3:$A$500,0))&gt;0,INDEX(precios!$H$3:$H$500,MATCH($B38,precios!$A$3:$A$500,0))/$B$4,"")</f>
      </c>
      <c r="H38" s="11">
        <f>IF(INDEX(precios!$I$3:$I$500,MATCH($B38,precios!$A$3:$A$500,0))&gt;0,INDEX(precios!$I$3:$I$500,MATCH($B38,precios!$A$3:$A$500,0))/$B$4,"")</f>
      </c>
      <c r="I38" s="11">
        <f>IF(INDEX(precios!$J$3:$J$500,MATCH($B38,precios!$A$3:$A$500,0))&gt;0,INDEX(precios!$J$3:$J$500,MATCH($B38,precios!$A$3:$A$500,0))/$B$4,"")</f>
      </c>
      <c r="J38" s="11">
        <f>IF(INDEX(precios!$K$3:$K$500,MATCH($B38,precios!$A$3:$A$500,0))&gt;0,INDEX(precios!$K$3:$K$500,MATCH($B38,precios!$A$3:$A$500,0))/$B$4,"")</f>
      </c>
      <c r="K38" s="11">
        <f>IF(INDEX(precios!$L$3:$L$500,MATCH($B38,precios!$A$3:$A$500,0))&gt;0,INDEX(precios!$L$3:$L$500,MATCH($B38,precios!$A$3:$A$500,0))/$B$4,"")</f>
      </c>
      <c r="L38" s="11">
        <f>IF(INDEX(precios!$M$3:$M$500,MATCH($B38,precios!$A$3:$A$500,0))&gt;0,INDEX(precios!$M$3:$M$500,MATCH($B38,precios!$A$3:$A$500,0))/$B$4,"")</f>
      </c>
      <c r="M38" s="11">
        <f>IF(INDEX(precios!$N$3:$N$500,MATCH($B38,precios!$A$3:$A$500,0))&gt;0,INDEX(precios!$N$3:$N$500,MATCH($B38,precios!$A$3:$A$500,0))/$B$4,"")</f>
      </c>
      <c r="N38" s="11">
        <f>SUM(D38:M38)</f>
      </c>
    </row>
    <row r="39" spans="1:14" x14ac:dyDescent="0.25">
      <c r="A39" t="s">
        <v>281</v>
      </c>
      <c r="B39" t="s">
        <v>407</v>
      </c>
      <c r="C39">
        <f>INDEX(precios!$C$3:$C$500,MATCH($B39,precios!$A$3:$A$500,0))</f>
      </c>
      <c r="D39" s="11">
        <f>IF(INDEX(precios!$E$3:$E$500,MATCH($B39,precios!$A$3:$A$500,0))&gt;0,INDEX(precios!$E$3:$E$500,MATCH($B39,precios!$A$3:$A$500,0))/$B$4,"")</f>
      </c>
      <c r="E39" s="11">
        <f>IF(INDEX(precios!$F$3:$F$500,MATCH($B39,precios!$A$3:$A$500,0))&gt;0,INDEX(precios!$F$3:$F$500,MATCH($B39,precios!$A$3:$A$500,0))/$B$4,"")</f>
      </c>
      <c r="F39" s="11">
        <f>IF(INDEX(precios!$G$3:$G$500,MATCH($B39,precios!$A$3:$A$500,0))&gt;0,INDEX(precios!$G$3:$G$500,MATCH($B39,precios!$A$3:$A$500,0))/$B$4,"")</f>
      </c>
      <c r="G39" s="11">
        <f>IF(INDEX(precios!$H$3:$H$500,MATCH($B39,precios!$A$3:$A$500,0))&gt;0,INDEX(precios!$H$3:$H$500,MATCH($B39,precios!$A$3:$A$500,0))/$B$4,"")</f>
      </c>
      <c r="H39" s="11">
        <f>IF(INDEX(precios!$I$3:$I$500,MATCH($B39,precios!$A$3:$A$500,0))&gt;0,INDEX(precios!$I$3:$I$500,MATCH($B39,precios!$A$3:$A$500,0))/$B$4,"")</f>
      </c>
      <c r="I39" s="11">
        <f>IF(INDEX(precios!$J$3:$J$500,MATCH($B39,precios!$A$3:$A$500,0))&gt;0,INDEX(precios!$J$3:$J$500,MATCH($B39,precios!$A$3:$A$500,0))/$B$4,"")</f>
      </c>
      <c r="J39" s="11">
        <f>IF(INDEX(precios!$K$3:$K$500,MATCH($B39,precios!$A$3:$A$500,0))&gt;0,INDEX(precios!$K$3:$K$500,MATCH($B39,precios!$A$3:$A$500,0))/$B$4,"")</f>
      </c>
      <c r="K39" s="11">
        <f>IF(INDEX(precios!$L$3:$L$500,MATCH($B39,precios!$A$3:$A$500,0))&gt;0,INDEX(precios!$L$3:$L$500,MATCH($B39,precios!$A$3:$A$500,0))/$B$4,"")</f>
      </c>
      <c r="L39" s="11">
        <f>IF(INDEX(precios!$M$3:$M$500,MATCH($B39,precios!$A$3:$A$500,0))&gt;0,INDEX(precios!$M$3:$M$500,MATCH($B39,precios!$A$3:$A$500,0))/$B$4,"")</f>
      </c>
      <c r="M39" s="11">
        <f>IF(INDEX(precios!$N$3:$N$500,MATCH($B39,precios!$A$3:$A$500,0))&gt;0,INDEX(precios!$N$3:$N$500,MATCH($B39,precios!$A$3:$A$500,0))/$B$4,"")</f>
      </c>
      <c r="N39" s="11">
        <f>SUM(D39:M39)</f>
      </c>
    </row>
    <row r="40" spans="1:14" x14ac:dyDescent="0.25">
      <c r="A40" t="s">
        <v>281</v>
      </c>
      <c r="B40" t="s">
        <v>409</v>
      </c>
      <c r="C40">
        <f>INDEX(precios!$C$3:$C$500,MATCH($B40,precios!$A$3:$A$500,0))</f>
      </c>
      <c r="D40" s="11">
        <f>IF(INDEX(precios!$E$3:$E$500,MATCH($B40,precios!$A$3:$A$500,0))&gt;0,INDEX(precios!$E$3:$E$500,MATCH($B40,precios!$A$3:$A$500,0))/$B$4,"")</f>
      </c>
      <c r="E40" s="11">
        <f>IF(INDEX(precios!$F$3:$F$500,MATCH($B40,precios!$A$3:$A$500,0))&gt;0,INDEX(precios!$F$3:$F$500,MATCH($B40,precios!$A$3:$A$500,0))/$B$4,"")</f>
      </c>
      <c r="F40" s="11">
        <f>IF(INDEX(precios!$G$3:$G$500,MATCH($B40,precios!$A$3:$A$500,0))&gt;0,INDEX(precios!$G$3:$G$500,MATCH($B40,precios!$A$3:$A$500,0))/$B$4,"")</f>
      </c>
      <c r="G40" s="11">
        <f>IF(INDEX(precios!$H$3:$H$500,MATCH($B40,precios!$A$3:$A$500,0))&gt;0,INDEX(precios!$H$3:$H$500,MATCH($B40,precios!$A$3:$A$500,0))/$B$4,"")</f>
      </c>
      <c r="H40" s="11">
        <f>IF(INDEX(precios!$I$3:$I$500,MATCH($B40,precios!$A$3:$A$500,0))&gt;0,INDEX(precios!$I$3:$I$500,MATCH($B40,precios!$A$3:$A$500,0))/$B$4,"")</f>
      </c>
      <c r="I40" s="11">
        <f>IF(INDEX(precios!$J$3:$J$500,MATCH($B40,precios!$A$3:$A$500,0))&gt;0,INDEX(precios!$J$3:$J$500,MATCH($B40,precios!$A$3:$A$500,0))/$B$4,"")</f>
      </c>
      <c r="J40" s="11">
        <f>IF(INDEX(precios!$K$3:$K$500,MATCH($B40,precios!$A$3:$A$500,0))&gt;0,INDEX(precios!$K$3:$K$500,MATCH($B40,precios!$A$3:$A$500,0))/$B$4,"")</f>
      </c>
      <c r="K40" s="11">
        <f>IF(INDEX(precios!$L$3:$L$500,MATCH($B40,precios!$A$3:$A$500,0))&gt;0,INDEX(precios!$L$3:$L$500,MATCH($B40,precios!$A$3:$A$500,0))/$B$4,"")</f>
      </c>
      <c r="L40" s="11">
        <f>IF(INDEX(precios!$M$3:$M$500,MATCH($B40,precios!$A$3:$A$500,0))&gt;0,INDEX(precios!$M$3:$M$500,MATCH($B40,precios!$A$3:$A$500,0))/$B$4,"")</f>
      </c>
      <c r="M40" s="11">
        <f>IF(INDEX(precios!$N$3:$N$500,MATCH($B40,precios!$A$3:$A$500,0))&gt;0,INDEX(precios!$N$3:$N$500,MATCH($B40,precios!$A$3:$A$500,0))/$B$4,"")</f>
      </c>
      <c r="N40" s="11">
        <f>SUM(D40:M40)</f>
      </c>
    </row>
    <row r="41" spans="1:14" x14ac:dyDescent="0.25">
      <c r="A41" t="s">
        <v>281</v>
      </c>
      <c r="B41" t="s">
        <v>411</v>
      </c>
      <c r="C41">
        <f>INDEX(precios!$C$3:$C$500,MATCH($B41,precios!$A$3:$A$500,0))</f>
      </c>
      <c r="D41" s="11">
        <f>IF(INDEX(precios!$E$3:$E$500,MATCH($B41,precios!$A$3:$A$500,0))&gt;0,INDEX(precios!$E$3:$E$500,MATCH($B41,precios!$A$3:$A$500,0))/$B$4,"")</f>
      </c>
      <c r="E41" s="11">
        <f>IF(INDEX(precios!$F$3:$F$500,MATCH($B41,precios!$A$3:$A$500,0))&gt;0,INDEX(precios!$F$3:$F$500,MATCH($B41,precios!$A$3:$A$500,0))/$B$4,"")</f>
      </c>
      <c r="F41" s="11">
        <f>IF(INDEX(precios!$G$3:$G$500,MATCH($B41,precios!$A$3:$A$500,0))&gt;0,INDEX(precios!$G$3:$G$500,MATCH($B41,precios!$A$3:$A$500,0))/$B$4,"")</f>
      </c>
      <c r="G41" s="11">
        <f>IF(INDEX(precios!$H$3:$H$500,MATCH($B41,precios!$A$3:$A$500,0))&gt;0,INDEX(precios!$H$3:$H$500,MATCH($B41,precios!$A$3:$A$500,0))/$B$4,"")</f>
      </c>
      <c r="H41" s="11">
        <f>IF(INDEX(precios!$I$3:$I$500,MATCH($B41,precios!$A$3:$A$500,0))&gt;0,INDEX(precios!$I$3:$I$500,MATCH($B41,precios!$A$3:$A$500,0))/$B$4,"")</f>
      </c>
      <c r="I41" s="11">
        <f>IF(INDEX(precios!$J$3:$J$500,MATCH($B41,precios!$A$3:$A$500,0))&gt;0,INDEX(precios!$J$3:$J$500,MATCH($B41,precios!$A$3:$A$500,0))/$B$4,"")</f>
      </c>
      <c r="J41" s="11">
        <f>IF(INDEX(precios!$K$3:$K$500,MATCH($B41,precios!$A$3:$A$500,0))&gt;0,INDEX(precios!$K$3:$K$500,MATCH($B41,precios!$A$3:$A$500,0))/$B$4,"")</f>
      </c>
      <c r="K41" s="11">
        <f>IF(INDEX(precios!$L$3:$L$500,MATCH($B41,precios!$A$3:$A$500,0))&gt;0,INDEX(precios!$L$3:$L$500,MATCH($B41,precios!$A$3:$A$500,0))/$B$4,"")</f>
      </c>
      <c r="L41" s="11">
        <f>IF(INDEX(precios!$M$3:$M$500,MATCH($B41,precios!$A$3:$A$500,0))&gt;0,INDEX(precios!$M$3:$M$500,MATCH($B41,precios!$A$3:$A$500,0))/$B$4,"")</f>
      </c>
      <c r="M41" s="11">
        <f>IF(INDEX(precios!$N$3:$N$500,MATCH($B41,precios!$A$3:$A$500,0))&gt;0,INDEX(precios!$N$3:$N$500,MATCH($B41,precios!$A$3:$A$500,0))/$B$4,"")</f>
      </c>
      <c r="N41" s="11">
        <f>SUM(D41:M41)</f>
      </c>
    </row>
    <row r="42" spans="1:14" x14ac:dyDescent="0.25">
      <c r="A42" t="s">
        <v>281</v>
      </c>
      <c r="B42" t="s">
        <v>413</v>
      </c>
      <c r="C42">
        <f>INDEX(precios!$C$3:$C$500,MATCH($B42,precios!$A$3:$A$500,0))</f>
      </c>
      <c r="D42" s="11">
        <f>IF(INDEX(precios!$E$3:$E$500,MATCH($B42,precios!$A$3:$A$500,0))&gt;0,INDEX(precios!$E$3:$E$500,MATCH($B42,precios!$A$3:$A$500,0))/$B$4,"")</f>
      </c>
      <c r="E42" s="11">
        <f>IF(INDEX(precios!$F$3:$F$500,MATCH($B42,precios!$A$3:$A$500,0))&gt;0,INDEX(precios!$F$3:$F$500,MATCH($B42,precios!$A$3:$A$500,0))/$B$4,"")</f>
      </c>
      <c r="F42" s="11">
        <f>IF(INDEX(precios!$G$3:$G$500,MATCH($B42,precios!$A$3:$A$500,0))&gt;0,INDEX(precios!$G$3:$G$500,MATCH($B42,precios!$A$3:$A$500,0))/$B$4,"")</f>
      </c>
      <c r="G42" s="11">
        <f>IF(INDEX(precios!$H$3:$H$500,MATCH($B42,precios!$A$3:$A$500,0))&gt;0,INDEX(precios!$H$3:$H$500,MATCH($B42,precios!$A$3:$A$500,0))/$B$4,"")</f>
      </c>
      <c r="H42" s="11">
        <f>IF(INDEX(precios!$I$3:$I$500,MATCH($B42,precios!$A$3:$A$500,0))&gt;0,INDEX(precios!$I$3:$I$500,MATCH($B42,precios!$A$3:$A$500,0))/$B$4,"")</f>
      </c>
      <c r="I42" s="11">
        <f>IF(INDEX(precios!$J$3:$J$500,MATCH($B42,precios!$A$3:$A$500,0))&gt;0,INDEX(precios!$J$3:$J$500,MATCH($B42,precios!$A$3:$A$500,0))/$B$4,"")</f>
      </c>
      <c r="J42" s="11">
        <f>IF(INDEX(precios!$K$3:$K$500,MATCH($B42,precios!$A$3:$A$500,0))&gt;0,INDEX(precios!$K$3:$K$500,MATCH($B42,precios!$A$3:$A$500,0))/$B$4,"")</f>
      </c>
      <c r="K42" s="11">
        <f>IF(INDEX(precios!$L$3:$L$500,MATCH($B42,precios!$A$3:$A$500,0))&gt;0,INDEX(precios!$L$3:$L$500,MATCH($B42,precios!$A$3:$A$500,0))/$B$4,"")</f>
      </c>
      <c r="L42" s="11">
        <f>IF(INDEX(precios!$M$3:$M$500,MATCH($B42,precios!$A$3:$A$500,0))&gt;0,INDEX(precios!$M$3:$M$500,MATCH($B42,precios!$A$3:$A$500,0))/$B$4,"")</f>
      </c>
      <c r="M42" s="11">
        <f>IF(INDEX(precios!$N$3:$N$500,MATCH($B42,precios!$A$3:$A$500,0))&gt;0,INDEX(precios!$N$3:$N$500,MATCH($B42,precios!$A$3:$A$500,0))/$B$4,"")</f>
      </c>
      <c r="N42" s="11">
        <f>SUM(D42:M42)</f>
      </c>
    </row>
    <row r="43" spans="1:14" x14ac:dyDescent="0.25">
      <c r="A43" t="s">
        <v>281</v>
      </c>
      <c r="B43" t="s">
        <v>415</v>
      </c>
      <c r="C43">
        <f>INDEX(precios!$C$3:$C$500,MATCH($B43,precios!$A$3:$A$500,0))</f>
      </c>
      <c r="D43" s="11">
        <f>IF(INDEX(precios!$E$3:$E$500,MATCH($B43,precios!$A$3:$A$500,0))&gt;0,INDEX(precios!$E$3:$E$500,MATCH($B43,precios!$A$3:$A$500,0))/$B$4,"")</f>
      </c>
      <c r="E43" s="11">
        <f>IF(INDEX(precios!$F$3:$F$500,MATCH($B43,precios!$A$3:$A$500,0))&gt;0,INDEX(precios!$F$3:$F$500,MATCH($B43,precios!$A$3:$A$500,0))/$B$4,"")</f>
      </c>
      <c r="F43" s="11">
        <f>IF(INDEX(precios!$G$3:$G$500,MATCH($B43,precios!$A$3:$A$500,0))&gt;0,INDEX(precios!$G$3:$G$500,MATCH($B43,precios!$A$3:$A$500,0))/$B$4,"")</f>
      </c>
      <c r="G43" s="11">
        <f>IF(INDEX(precios!$H$3:$H$500,MATCH($B43,precios!$A$3:$A$500,0))&gt;0,INDEX(precios!$H$3:$H$500,MATCH($B43,precios!$A$3:$A$500,0))/$B$4,"")</f>
      </c>
      <c r="H43" s="11">
        <f>IF(INDEX(precios!$I$3:$I$500,MATCH($B43,precios!$A$3:$A$500,0))&gt;0,INDEX(precios!$I$3:$I$500,MATCH($B43,precios!$A$3:$A$500,0))/$B$4,"")</f>
      </c>
      <c r="I43" s="11">
        <f>IF(INDEX(precios!$J$3:$J$500,MATCH($B43,precios!$A$3:$A$500,0))&gt;0,INDEX(precios!$J$3:$J$500,MATCH($B43,precios!$A$3:$A$500,0))/$B$4,"")</f>
      </c>
      <c r="J43" s="11">
        <f>IF(INDEX(precios!$K$3:$K$500,MATCH($B43,precios!$A$3:$A$500,0))&gt;0,INDEX(precios!$K$3:$K$500,MATCH($B43,precios!$A$3:$A$500,0))/$B$4,"")</f>
      </c>
      <c r="K43" s="11">
        <f>IF(INDEX(precios!$L$3:$L$500,MATCH($B43,precios!$A$3:$A$500,0))&gt;0,INDEX(precios!$L$3:$L$500,MATCH($B43,precios!$A$3:$A$500,0))/$B$4,"")</f>
      </c>
      <c r="L43" s="11">
        <f>IF(INDEX(precios!$M$3:$M$500,MATCH($B43,precios!$A$3:$A$500,0))&gt;0,INDEX(precios!$M$3:$M$500,MATCH($B43,precios!$A$3:$A$500,0))/$B$4,"")</f>
      </c>
      <c r="M43" s="11">
        <f>IF(INDEX(precios!$N$3:$N$500,MATCH($B43,precios!$A$3:$A$500,0))&gt;0,INDEX(precios!$N$3:$N$500,MATCH($B43,precios!$A$3:$A$500,0))/$B$4,"")</f>
      </c>
      <c r="N43" s="11">
        <f>SUM(D43:M43)</f>
      </c>
    </row>
    <row r="44" spans="1:14" x14ac:dyDescent="0.25">
      <c r="A44" t="s">
        <v>418</v>
      </c>
      <c r="B44" t="s">
        <v>417</v>
      </c>
      <c r="C44">
        <f>INDEX(precios!$C$3:$C$500,MATCH($B44,precios!$A$3:$A$500,0))</f>
      </c>
      <c r="D44" s="11">
        <f>IF(INDEX(precios!$E$3:$E$500,MATCH($B44,precios!$A$3:$A$500,0))&gt;0,INDEX(precios!$E$3:$E$500,MATCH($B44,precios!$A$3:$A$500,0))/$B$4,"")</f>
      </c>
      <c r="E44" s="11">
        <f>IF(INDEX(precios!$F$3:$F$500,MATCH($B44,precios!$A$3:$A$500,0))&gt;0,INDEX(precios!$F$3:$F$500,MATCH($B44,precios!$A$3:$A$500,0))/$B$4,"")</f>
      </c>
      <c r="F44" s="11">
        <f>IF(INDEX(precios!$G$3:$G$500,MATCH($B44,precios!$A$3:$A$500,0))&gt;0,INDEX(precios!$G$3:$G$500,MATCH($B44,precios!$A$3:$A$500,0))/$B$4,"")</f>
      </c>
      <c r="G44" s="11">
        <f>IF(INDEX(precios!$H$3:$H$500,MATCH($B44,precios!$A$3:$A$500,0))&gt;0,INDEX(precios!$H$3:$H$500,MATCH($B44,precios!$A$3:$A$500,0))/$B$4,"")</f>
      </c>
      <c r="H44" s="11">
        <f>IF(INDEX(precios!$I$3:$I$500,MATCH($B44,precios!$A$3:$A$500,0))&gt;0,INDEX(precios!$I$3:$I$500,MATCH($B44,precios!$A$3:$A$500,0))/$B$4,"")</f>
      </c>
      <c r="I44" s="11">
        <f>IF(INDEX(precios!$J$3:$J$500,MATCH($B44,precios!$A$3:$A$500,0))&gt;0,INDEX(precios!$J$3:$J$500,MATCH($B44,precios!$A$3:$A$500,0))/$B$4,"")</f>
      </c>
      <c r="J44" s="11">
        <f>IF(INDEX(precios!$K$3:$K$500,MATCH($B44,precios!$A$3:$A$500,0))&gt;0,INDEX(precios!$K$3:$K$500,MATCH($B44,precios!$A$3:$A$500,0))/$B$4,"")</f>
      </c>
      <c r="K44" s="11">
        <f>IF(INDEX(precios!$L$3:$L$500,MATCH($B44,precios!$A$3:$A$500,0))&gt;0,INDEX(precios!$L$3:$L$500,MATCH($B44,precios!$A$3:$A$500,0))/$B$4,"")</f>
      </c>
      <c r="L44" s="11">
        <f>IF(INDEX(precios!$M$3:$M$500,MATCH($B44,precios!$A$3:$A$500,0))&gt;0,INDEX(precios!$M$3:$M$500,MATCH($B44,precios!$A$3:$A$500,0))/$B$4,"")</f>
      </c>
      <c r="M44" s="11">
        <f>IF(INDEX(precios!$N$3:$N$500,MATCH($B44,precios!$A$3:$A$500,0))&gt;0,INDEX(precios!$N$3:$N$500,MATCH($B44,precios!$A$3:$A$500,0))/$B$4,"")</f>
      </c>
      <c r="N44" s="11">
        <f>SUM(D44:M44)</f>
      </c>
    </row>
    <row r="45" spans="1:14" x14ac:dyDescent="0.25">
      <c r="A45" t="s">
        <v>418</v>
      </c>
      <c r="B45" t="s">
        <v>420</v>
      </c>
      <c r="C45">
        <f>INDEX(precios!$C$3:$C$500,MATCH($B45,precios!$A$3:$A$500,0))</f>
      </c>
      <c r="D45" s="11">
        <f>IF(INDEX(precios!$E$3:$E$500,MATCH($B45,precios!$A$3:$A$500,0))&gt;0,INDEX(precios!$E$3:$E$500,MATCH($B45,precios!$A$3:$A$500,0))/$B$4,"")</f>
      </c>
      <c r="E45" s="11">
        <f>IF(INDEX(precios!$F$3:$F$500,MATCH($B45,precios!$A$3:$A$500,0))&gt;0,INDEX(precios!$F$3:$F$500,MATCH($B45,precios!$A$3:$A$500,0))/$B$4,"")</f>
      </c>
      <c r="F45" s="11">
        <f>IF(INDEX(precios!$G$3:$G$500,MATCH($B45,precios!$A$3:$A$500,0))&gt;0,INDEX(precios!$G$3:$G$500,MATCH($B45,precios!$A$3:$A$500,0))/$B$4,"")</f>
      </c>
      <c r="G45" s="11">
        <f>IF(INDEX(precios!$H$3:$H$500,MATCH($B45,precios!$A$3:$A$500,0))&gt;0,INDEX(precios!$H$3:$H$500,MATCH($B45,precios!$A$3:$A$500,0))/$B$4,"")</f>
      </c>
      <c r="H45" s="11">
        <f>IF(INDEX(precios!$I$3:$I$500,MATCH($B45,precios!$A$3:$A$500,0))&gt;0,INDEX(precios!$I$3:$I$500,MATCH($B45,precios!$A$3:$A$500,0))/$B$4,"")</f>
      </c>
      <c r="I45" s="11">
        <f>IF(INDEX(precios!$J$3:$J$500,MATCH($B45,precios!$A$3:$A$500,0))&gt;0,INDEX(precios!$J$3:$J$500,MATCH($B45,precios!$A$3:$A$500,0))/$B$4,"")</f>
      </c>
      <c r="J45" s="11">
        <f>IF(INDEX(precios!$K$3:$K$500,MATCH($B45,precios!$A$3:$A$500,0))&gt;0,INDEX(precios!$K$3:$K$500,MATCH($B45,precios!$A$3:$A$500,0))/$B$4,"")</f>
      </c>
      <c r="K45" s="11">
        <f>IF(INDEX(precios!$L$3:$L$500,MATCH($B45,precios!$A$3:$A$500,0))&gt;0,INDEX(precios!$L$3:$L$500,MATCH($B45,precios!$A$3:$A$500,0))/$B$4,"")</f>
      </c>
      <c r="L45" s="11">
        <f>IF(INDEX(precios!$M$3:$M$500,MATCH($B45,precios!$A$3:$A$500,0))&gt;0,INDEX(precios!$M$3:$M$500,MATCH($B45,precios!$A$3:$A$500,0))/$B$4,"")</f>
      </c>
      <c r="M45" s="11">
        <f>IF(INDEX(precios!$N$3:$N$500,MATCH($B45,precios!$A$3:$A$500,0))&gt;0,INDEX(precios!$N$3:$N$500,MATCH($B45,precios!$A$3:$A$500,0))/$B$4,"")</f>
      </c>
      <c r="N45" s="11">
        <f>SUM(D45:M45)</f>
      </c>
    </row>
    <row r="46" spans="1:14" x14ac:dyDescent="0.25">
      <c r="A46" t="s">
        <v>418</v>
      </c>
      <c r="B46" t="s">
        <v>421</v>
      </c>
      <c r="C46">
        <f>INDEX(precios!$C$3:$C$500,MATCH($B46,precios!$A$3:$A$500,0))</f>
      </c>
      <c r="D46" s="11">
        <f>IF(INDEX(precios!$E$3:$E$500,MATCH($B46,precios!$A$3:$A$500,0))&gt;0,INDEX(precios!$E$3:$E$500,MATCH($B46,precios!$A$3:$A$500,0))/$B$4,"")</f>
      </c>
      <c r="E46" s="11">
        <f>IF(INDEX(precios!$F$3:$F$500,MATCH($B46,precios!$A$3:$A$500,0))&gt;0,INDEX(precios!$F$3:$F$500,MATCH($B46,precios!$A$3:$A$500,0))/$B$4,"")</f>
      </c>
      <c r="F46" s="11">
        <f>IF(INDEX(precios!$G$3:$G$500,MATCH($B46,precios!$A$3:$A$500,0))&gt;0,INDEX(precios!$G$3:$G$500,MATCH($B46,precios!$A$3:$A$500,0))/$B$4,"")</f>
      </c>
      <c r="G46" s="11">
        <f>IF(INDEX(precios!$H$3:$H$500,MATCH($B46,precios!$A$3:$A$500,0))&gt;0,INDEX(precios!$H$3:$H$500,MATCH($B46,precios!$A$3:$A$500,0))/$B$4,"")</f>
      </c>
      <c r="H46" s="11">
        <f>IF(INDEX(precios!$I$3:$I$500,MATCH($B46,precios!$A$3:$A$500,0))&gt;0,INDEX(precios!$I$3:$I$500,MATCH($B46,precios!$A$3:$A$500,0))/$B$4,"")</f>
      </c>
      <c r="I46" s="11">
        <f>IF(INDEX(precios!$J$3:$J$500,MATCH($B46,precios!$A$3:$A$500,0))&gt;0,INDEX(precios!$J$3:$J$500,MATCH($B46,precios!$A$3:$A$500,0))/$B$4,"")</f>
      </c>
      <c r="J46" s="11">
        <f>IF(INDEX(precios!$K$3:$K$500,MATCH($B46,precios!$A$3:$A$500,0))&gt;0,INDEX(precios!$K$3:$K$500,MATCH($B46,precios!$A$3:$A$500,0))/$B$4,"")</f>
      </c>
      <c r="K46" s="11">
        <f>IF(INDEX(precios!$L$3:$L$500,MATCH($B46,precios!$A$3:$A$500,0))&gt;0,INDEX(precios!$L$3:$L$500,MATCH($B46,precios!$A$3:$A$500,0))/$B$4,"")</f>
      </c>
      <c r="L46" s="11">
        <f>IF(INDEX(precios!$M$3:$M$500,MATCH($B46,precios!$A$3:$A$500,0))&gt;0,INDEX(precios!$M$3:$M$500,MATCH($B46,precios!$A$3:$A$500,0))/$B$4,"")</f>
      </c>
      <c r="M46" s="11">
        <f>IF(INDEX(precios!$N$3:$N$500,MATCH($B46,precios!$A$3:$A$500,0))&gt;0,INDEX(precios!$N$3:$N$500,MATCH($B46,precios!$A$3:$A$500,0))/$B$4,"")</f>
      </c>
      <c r="N46" s="11">
        <f>SUM(D46:M46)</f>
      </c>
    </row>
    <row r="47" spans="1:14" x14ac:dyDescent="0.25">
      <c r="A47" t="s">
        <v>418</v>
      </c>
      <c r="B47" t="s">
        <v>422</v>
      </c>
      <c r="C47">
        <f>INDEX(precios!$C$3:$C$500,MATCH($B47,precios!$A$3:$A$500,0))</f>
      </c>
      <c r="D47" s="11">
        <f>IF(INDEX(precios!$E$3:$E$500,MATCH($B47,precios!$A$3:$A$500,0))&gt;0,INDEX(precios!$E$3:$E$500,MATCH($B47,precios!$A$3:$A$500,0))/$B$4,"")</f>
      </c>
      <c r="E47" s="11">
        <f>IF(INDEX(precios!$F$3:$F$500,MATCH($B47,precios!$A$3:$A$500,0))&gt;0,INDEX(precios!$F$3:$F$500,MATCH($B47,precios!$A$3:$A$500,0))/$B$4,"")</f>
      </c>
      <c r="F47" s="11">
        <f>IF(INDEX(precios!$G$3:$G$500,MATCH($B47,precios!$A$3:$A$500,0))&gt;0,INDEX(precios!$G$3:$G$500,MATCH($B47,precios!$A$3:$A$500,0))/$B$4,"")</f>
      </c>
      <c r="G47" s="11">
        <f>IF(INDEX(precios!$H$3:$H$500,MATCH($B47,precios!$A$3:$A$500,0))&gt;0,INDEX(precios!$H$3:$H$500,MATCH($B47,precios!$A$3:$A$500,0))/$B$4,"")</f>
      </c>
      <c r="H47" s="11">
        <f>IF(INDEX(precios!$I$3:$I$500,MATCH($B47,precios!$A$3:$A$500,0))&gt;0,INDEX(precios!$I$3:$I$500,MATCH($B47,precios!$A$3:$A$500,0))/$B$4,"")</f>
      </c>
      <c r="I47" s="11">
        <f>IF(INDEX(precios!$J$3:$J$500,MATCH($B47,precios!$A$3:$A$500,0))&gt;0,INDEX(precios!$J$3:$J$500,MATCH($B47,precios!$A$3:$A$500,0))/$B$4,"")</f>
      </c>
      <c r="J47" s="11">
        <f>IF(INDEX(precios!$K$3:$K$500,MATCH($B47,precios!$A$3:$A$500,0))&gt;0,INDEX(precios!$K$3:$K$500,MATCH($B47,precios!$A$3:$A$500,0))/$B$4,"")</f>
      </c>
      <c r="K47" s="11">
        <f>IF(INDEX(precios!$L$3:$L$500,MATCH($B47,precios!$A$3:$A$500,0))&gt;0,INDEX(precios!$L$3:$L$500,MATCH($B47,precios!$A$3:$A$500,0))/$B$4,"")</f>
      </c>
      <c r="L47" s="11">
        <f>IF(INDEX(precios!$M$3:$M$500,MATCH($B47,precios!$A$3:$A$500,0))&gt;0,INDEX(precios!$M$3:$M$500,MATCH($B47,precios!$A$3:$A$500,0))/$B$4,"")</f>
      </c>
      <c r="M47" s="11">
        <f>IF(INDEX(precios!$N$3:$N$500,MATCH($B47,precios!$A$3:$A$500,0))&gt;0,INDEX(precios!$N$3:$N$500,MATCH($B47,precios!$A$3:$A$500,0))/$B$4,"")</f>
      </c>
      <c r="N47" s="11">
        <f>SUM(D47:M47)</f>
      </c>
    </row>
    <row r="48" spans="1:14" x14ac:dyDescent="0.25">
      <c r="A48" t="s">
        <v>418</v>
      </c>
      <c r="B48" t="s">
        <v>424</v>
      </c>
      <c r="C48">
        <f>INDEX(precios!$C$3:$C$500,MATCH($B48,precios!$A$3:$A$500,0))</f>
      </c>
      <c r="D48" s="11">
        <f>IF(INDEX(precios!$E$3:$E$500,MATCH($B48,precios!$A$3:$A$500,0))&gt;0,INDEX(precios!$E$3:$E$500,MATCH($B48,precios!$A$3:$A$500,0))/$B$4,"")</f>
      </c>
      <c r="E48" s="11">
        <f>IF(INDEX(precios!$F$3:$F$500,MATCH($B48,precios!$A$3:$A$500,0))&gt;0,INDEX(precios!$F$3:$F$500,MATCH($B48,precios!$A$3:$A$500,0))/$B$4,"")</f>
      </c>
      <c r="F48" s="11">
        <f>IF(INDEX(precios!$G$3:$G$500,MATCH($B48,precios!$A$3:$A$500,0))&gt;0,INDEX(precios!$G$3:$G$500,MATCH($B48,precios!$A$3:$A$500,0))/$B$4,"")</f>
      </c>
      <c r="G48" s="11">
        <f>IF(INDEX(precios!$H$3:$H$500,MATCH($B48,precios!$A$3:$A$500,0))&gt;0,INDEX(precios!$H$3:$H$500,MATCH($B48,precios!$A$3:$A$500,0))/$B$4,"")</f>
      </c>
      <c r="H48" s="11">
        <f>IF(INDEX(precios!$I$3:$I$500,MATCH($B48,precios!$A$3:$A$500,0))&gt;0,INDEX(precios!$I$3:$I$500,MATCH($B48,precios!$A$3:$A$500,0))/$B$4,"")</f>
      </c>
      <c r="I48" s="11">
        <f>IF(INDEX(precios!$J$3:$J$500,MATCH($B48,precios!$A$3:$A$500,0))&gt;0,INDEX(precios!$J$3:$J$500,MATCH($B48,precios!$A$3:$A$500,0))/$B$4,"")</f>
      </c>
      <c r="J48" s="11">
        <f>IF(INDEX(precios!$K$3:$K$500,MATCH($B48,precios!$A$3:$A$500,0))&gt;0,INDEX(precios!$K$3:$K$500,MATCH($B48,precios!$A$3:$A$500,0))/$B$4,"")</f>
      </c>
      <c r="K48" s="11">
        <f>IF(INDEX(precios!$L$3:$L$500,MATCH($B48,precios!$A$3:$A$500,0))&gt;0,INDEX(precios!$L$3:$L$500,MATCH($B48,precios!$A$3:$A$500,0))/$B$4,"")</f>
      </c>
      <c r="L48" s="11">
        <f>IF(INDEX(precios!$M$3:$M$500,MATCH($B48,precios!$A$3:$A$500,0))&gt;0,INDEX(precios!$M$3:$M$500,MATCH($B48,precios!$A$3:$A$500,0))/$B$4,"")</f>
      </c>
      <c r="M48" s="11">
        <f>IF(INDEX(precios!$N$3:$N$500,MATCH($B48,precios!$A$3:$A$500,0))&gt;0,INDEX(precios!$N$3:$N$500,MATCH($B48,precios!$A$3:$A$500,0))/$B$4,"")</f>
      </c>
      <c r="N48" s="11">
        <f>SUM(D48:M48)</f>
      </c>
    </row>
    <row r="49" spans="1:14" x14ac:dyDescent="0.25">
      <c r="A49" t="s">
        <v>418</v>
      </c>
      <c r="B49" t="s">
        <v>425</v>
      </c>
      <c r="C49">
        <f>INDEX(precios!$C$3:$C$500,MATCH($B49,precios!$A$3:$A$500,0))</f>
      </c>
      <c r="D49" s="11">
        <f>IF(INDEX(precios!$E$3:$E$500,MATCH($B49,precios!$A$3:$A$500,0))&gt;0,INDEX(precios!$E$3:$E$500,MATCH($B49,precios!$A$3:$A$500,0))/$B$4,"")</f>
      </c>
      <c r="E49" s="11">
        <f>IF(INDEX(precios!$F$3:$F$500,MATCH($B49,precios!$A$3:$A$500,0))&gt;0,INDEX(precios!$F$3:$F$500,MATCH($B49,precios!$A$3:$A$500,0))/$B$4,"")</f>
      </c>
      <c r="F49" s="11">
        <f>IF(INDEX(precios!$G$3:$G$500,MATCH($B49,precios!$A$3:$A$500,0))&gt;0,INDEX(precios!$G$3:$G$500,MATCH($B49,precios!$A$3:$A$500,0))/$B$4,"")</f>
      </c>
      <c r="G49" s="11">
        <f>IF(INDEX(precios!$H$3:$H$500,MATCH($B49,precios!$A$3:$A$500,0))&gt;0,INDEX(precios!$H$3:$H$500,MATCH($B49,precios!$A$3:$A$500,0))/$B$4,"")</f>
      </c>
      <c r="H49" s="11">
        <f>IF(INDEX(precios!$I$3:$I$500,MATCH($B49,precios!$A$3:$A$500,0))&gt;0,INDEX(precios!$I$3:$I$500,MATCH($B49,precios!$A$3:$A$500,0))/$B$4,"")</f>
      </c>
      <c r="I49" s="11">
        <f>IF(INDEX(precios!$J$3:$J$500,MATCH($B49,precios!$A$3:$A$500,0))&gt;0,INDEX(precios!$J$3:$J$500,MATCH($B49,precios!$A$3:$A$500,0))/$B$4,"")</f>
      </c>
      <c r="J49" s="11">
        <f>IF(INDEX(precios!$K$3:$K$500,MATCH($B49,precios!$A$3:$A$500,0))&gt;0,INDEX(precios!$K$3:$K$500,MATCH($B49,precios!$A$3:$A$500,0))/$B$4,"")</f>
      </c>
      <c r="K49" s="11">
        <f>IF(INDEX(precios!$L$3:$L$500,MATCH($B49,precios!$A$3:$A$500,0))&gt;0,INDEX(precios!$L$3:$L$500,MATCH($B49,precios!$A$3:$A$500,0))/$B$4,"")</f>
      </c>
      <c r="L49" s="11">
        <f>IF(INDEX(precios!$M$3:$M$500,MATCH($B49,precios!$A$3:$A$500,0))&gt;0,INDEX(precios!$M$3:$M$500,MATCH($B49,precios!$A$3:$A$500,0))/$B$4,"")</f>
      </c>
      <c r="M49" s="11">
        <f>IF(INDEX(precios!$N$3:$N$500,MATCH($B49,precios!$A$3:$A$500,0))&gt;0,INDEX(precios!$N$3:$N$500,MATCH($B49,precios!$A$3:$A$500,0))/$B$4,"")</f>
      </c>
      <c r="N49" s="11">
        <f>SUM(D49:M49)</f>
      </c>
    </row>
    <row r="50" spans="1:14" x14ac:dyDescent="0.25">
      <c r="A50" t="s">
        <v>418</v>
      </c>
      <c r="B50" t="s">
        <v>427</v>
      </c>
      <c r="C50">
        <f>INDEX(precios!$C$3:$C$500,MATCH($B50,precios!$A$3:$A$500,0))</f>
      </c>
      <c r="D50" s="11">
        <f>IF(INDEX(precios!$E$3:$E$500,MATCH($B50,precios!$A$3:$A$500,0))&gt;0,INDEX(precios!$E$3:$E$500,MATCH($B50,precios!$A$3:$A$500,0))/$B$4,"")</f>
      </c>
      <c r="E50" s="11">
        <f>IF(INDEX(precios!$F$3:$F$500,MATCH($B50,precios!$A$3:$A$500,0))&gt;0,INDEX(precios!$F$3:$F$500,MATCH($B50,precios!$A$3:$A$500,0))/$B$4,"")</f>
      </c>
      <c r="F50" s="11">
        <f>IF(INDEX(precios!$G$3:$G$500,MATCH($B50,precios!$A$3:$A$500,0))&gt;0,INDEX(precios!$G$3:$G$500,MATCH($B50,precios!$A$3:$A$500,0))/$B$4,"")</f>
      </c>
      <c r="G50" s="11">
        <f>IF(INDEX(precios!$H$3:$H$500,MATCH($B50,precios!$A$3:$A$500,0))&gt;0,INDEX(precios!$H$3:$H$500,MATCH($B50,precios!$A$3:$A$500,0))/$B$4,"")</f>
      </c>
      <c r="H50" s="11">
        <f>IF(INDEX(precios!$I$3:$I$500,MATCH($B50,precios!$A$3:$A$500,0))&gt;0,INDEX(precios!$I$3:$I$500,MATCH($B50,precios!$A$3:$A$500,0))/$B$4,"")</f>
      </c>
      <c r="I50" s="11">
        <f>IF(INDEX(precios!$J$3:$J$500,MATCH($B50,precios!$A$3:$A$500,0))&gt;0,INDEX(precios!$J$3:$J$500,MATCH($B50,precios!$A$3:$A$500,0))/$B$4,"")</f>
      </c>
      <c r="J50" s="11">
        <f>IF(INDEX(precios!$K$3:$K$500,MATCH($B50,precios!$A$3:$A$500,0))&gt;0,INDEX(precios!$K$3:$K$500,MATCH($B50,precios!$A$3:$A$500,0))/$B$4,"")</f>
      </c>
      <c r="K50" s="11">
        <f>IF(INDEX(precios!$L$3:$L$500,MATCH($B50,precios!$A$3:$A$500,0))&gt;0,INDEX(precios!$L$3:$L$500,MATCH($B50,precios!$A$3:$A$500,0))/$B$4,"")</f>
      </c>
      <c r="L50" s="11">
        <f>IF(INDEX(precios!$M$3:$M$500,MATCH($B50,precios!$A$3:$A$500,0))&gt;0,INDEX(precios!$M$3:$M$500,MATCH($B50,precios!$A$3:$A$500,0))/$B$4,"")</f>
      </c>
      <c r="M50" s="11">
        <f>IF(INDEX(precios!$N$3:$N$500,MATCH($B50,precios!$A$3:$A$500,0))&gt;0,INDEX(precios!$N$3:$N$500,MATCH($B50,precios!$A$3:$A$500,0))/$B$4,"")</f>
      </c>
      <c r="N50" s="11">
        <f>SUM(D50:M50)</f>
      </c>
    </row>
    <row r="51" spans="1:14" x14ac:dyDescent="0.25">
      <c r="A51" t="s">
        <v>418</v>
      </c>
      <c r="B51" t="s">
        <v>428</v>
      </c>
      <c r="C51">
        <f>INDEX(precios!$C$3:$C$500,MATCH($B51,precios!$A$3:$A$500,0))</f>
      </c>
      <c r="D51" s="11">
        <f>IF(INDEX(precios!$E$3:$E$500,MATCH($B51,precios!$A$3:$A$500,0))&gt;0,INDEX(precios!$E$3:$E$500,MATCH($B51,precios!$A$3:$A$500,0))/$B$4,"")</f>
      </c>
      <c r="E51" s="11">
        <f>IF(INDEX(precios!$F$3:$F$500,MATCH($B51,precios!$A$3:$A$500,0))&gt;0,INDEX(precios!$F$3:$F$500,MATCH($B51,precios!$A$3:$A$500,0))/$B$4,"")</f>
      </c>
      <c r="F51" s="11">
        <f>IF(INDEX(precios!$G$3:$G$500,MATCH($B51,precios!$A$3:$A$500,0))&gt;0,INDEX(precios!$G$3:$G$500,MATCH($B51,precios!$A$3:$A$500,0))/$B$4,"")</f>
      </c>
      <c r="G51" s="11">
        <f>IF(INDEX(precios!$H$3:$H$500,MATCH($B51,precios!$A$3:$A$500,0))&gt;0,INDEX(precios!$H$3:$H$500,MATCH($B51,precios!$A$3:$A$500,0))/$B$4,"")</f>
      </c>
      <c r="H51" s="11">
        <f>IF(INDEX(precios!$I$3:$I$500,MATCH($B51,precios!$A$3:$A$500,0))&gt;0,INDEX(precios!$I$3:$I$500,MATCH($B51,precios!$A$3:$A$500,0))/$B$4,"")</f>
      </c>
      <c r="I51" s="11">
        <f>IF(INDEX(precios!$J$3:$J$500,MATCH($B51,precios!$A$3:$A$500,0))&gt;0,INDEX(precios!$J$3:$J$500,MATCH($B51,precios!$A$3:$A$500,0))/$B$4,"")</f>
      </c>
      <c r="J51" s="11">
        <f>IF(INDEX(precios!$K$3:$K$500,MATCH($B51,precios!$A$3:$A$500,0))&gt;0,INDEX(precios!$K$3:$K$500,MATCH($B51,precios!$A$3:$A$500,0))/$B$4,"")</f>
      </c>
      <c r="K51" s="11">
        <f>IF(INDEX(precios!$L$3:$L$500,MATCH($B51,precios!$A$3:$A$500,0))&gt;0,INDEX(precios!$L$3:$L$500,MATCH($B51,precios!$A$3:$A$500,0))/$B$4,"")</f>
      </c>
      <c r="L51" s="11">
        <f>IF(INDEX(precios!$M$3:$M$500,MATCH($B51,precios!$A$3:$A$500,0))&gt;0,INDEX(precios!$M$3:$M$500,MATCH($B51,precios!$A$3:$A$500,0))/$B$4,"")</f>
      </c>
      <c r="M51" s="11">
        <f>IF(INDEX(precios!$N$3:$N$500,MATCH($B51,precios!$A$3:$A$500,0))&gt;0,INDEX(precios!$N$3:$N$500,MATCH($B51,precios!$A$3:$A$500,0))/$B$4,"")</f>
      </c>
      <c r="N51" s="11">
        <f>SUM(D51:M51)</f>
      </c>
    </row>
    <row r="52" spans="1:14" x14ac:dyDescent="0.25">
      <c r="A52" t="s">
        <v>418</v>
      </c>
      <c r="B52" t="s">
        <v>430</v>
      </c>
      <c r="C52">
        <f>INDEX(precios!$C$3:$C$500,MATCH($B52,precios!$A$3:$A$500,0))</f>
      </c>
      <c r="D52" s="11">
        <f>IF(INDEX(precios!$E$3:$E$500,MATCH($B52,precios!$A$3:$A$500,0))&gt;0,INDEX(precios!$E$3:$E$500,MATCH($B52,precios!$A$3:$A$500,0))/$B$4,"")</f>
      </c>
      <c r="E52" s="11">
        <f>IF(INDEX(precios!$F$3:$F$500,MATCH($B52,precios!$A$3:$A$500,0))&gt;0,INDEX(precios!$F$3:$F$500,MATCH($B52,precios!$A$3:$A$500,0))/$B$4,"")</f>
      </c>
      <c r="F52" s="11">
        <f>IF(INDEX(precios!$G$3:$G$500,MATCH($B52,precios!$A$3:$A$500,0))&gt;0,INDEX(precios!$G$3:$G$500,MATCH($B52,precios!$A$3:$A$500,0))/$B$4,"")</f>
      </c>
      <c r="G52" s="11">
        <f>IF(INDEX(precios!$H$3:$H$500,MATCH($B52,precios!$A$3:$A$500,0))&gt;0,INDEX(precios!$H$3:$H$500,MATCH($B52,precios!$A$3:$A$500,0))/$B$4,"")</f>
      </c>
      <c r="H52" s="11">
        <f>IF(INDEX(precios!$I$3:$I$500,MATCH($B52,precios!$A$3:$A$500,0))&gt;0,INDEX(precios!$I$3:$I$500,MATCH($B52,precios!$A$3:$A$500,0))/$B$4,"")</f>
      </c>
      <c r="I52" s="11">
        <f>IF(INDEX(precios!$J$3:$J$500,MATCH($B52,precios!$A$3:$A$500,0))&gt;0,INDEX(precios!$J$3:$J$500,MATCH($B52,precios!$A$3:$A$500,0))/$B$4,"")</f>
      </c>
      <c r="J52" s="11">
        <f>IF(INDEX(precios!$K$3:$K$500,MATCH($B52,precios!$A$3:$A$500,0))&gt;0,INDEX(precios!$K$3:$K$500,MATCH($B52,precios!$A$3:$A$500,0))/$B$4,"")</f>
      </c>
      <c r="K52" s="11">
        <f>IF(INDEX(precios!$L$3:$L$500,MATCH($B52,precios!$A$3:$A$500,0))&gt;0,INDEX(precios!$L$3:$L$500,MATCH($B52,precios!$A$3:$A$500,0))/$B$4,"")</f>
      </c>
      <c r="L52" s="11">
        <f>IF(INDEX(precios!$M$3:$M$500,MATCH($B52,precios!$A$3:$A$500,0))&gt;0,INDEX(precios!$M$3:$M$500,MATCH($B52,precios!$A$3:$A$500,0))/$B$4,"")</f>
      </c>
      <c r="M52" s="11">
        <f>IF(INDEX(precios!$N$3:$N$500,MATCH($B52,precios!$A$3:$A$500,0))&gt;0,INDEX(precios!$N$3:$N$500,MATCH($B52,precios!$A$3:$A$500,0))/$B$4,"")</f>
      </c>
      <c r="N52" s="11">
        <f>SUM(D52:M52)</f>
      </c>
    </row>
    <row r="53" spans="1:14" x14ac:dyDescent="0.25">
      <c r="A53" t="s">
        <v>418</v>
      </c>
      <c r="B53" t="s">
        <v>431</v>
      </c>
      <c r="C53">
        <f>INDEX(precios!$C$3:$C$500,MATCH($B53,precios!$A$3:$A$500,0))</f>
      </c>
      <c r="D53" s="11">
        <f>IF(INDEX(precios!$E$3:$E$500,MATCH($B53,precios!$A$3:$A$500,0))&gt;0,INDEX(precios!$E$3:$E$500,MATCH($B53,precios!$A$3:$A$500,0))/$B$4,"")</f>
      </c>
      <c r="E53" s="11">
        <f>IF(INDEX(precios!$F$3:$F$500,MATCH($B53,precios!$A$3:$A$500,0))&gt;0,INDEX(precios!$F$3:$F$500,MATCH($B53,precios!$A$3:$A$500,0))/$B$4,"")</f>
      </c>
      <c r="F53" s="11">
        <f>IF(INDEX(precios!$G$3:$G$500,MATCH($B53,precios!$A$3:$A$500,0))&gt;0,INDEX(precios!$G$3:$G$500,MATCH($B53,precios!$A$3:$A$500,0))/$B$4,"")</f>
      </c>
      <c r="G53" s="11">
        <f>IF(INDEX(precios!$H$3:$H$500,MATCH($B53,precios!$A$3:$A$500,0))&gt;0,INDEX(precios!$H$3:$H$500,MATCH($B53,precios!$A$3:$A$500,0))/$B$4,"")</f>
      </c>
      <c r="H53" s="11">
        <f>IF(INDEX(precios!$I$3:$I$500,MATCH($B53,precios!$A$3:$A$500,0))&gt;0,INDEX(precios!$I$3:$I$500,MATCH($B53,precios!$A$3:$A$500,0))/$B$4,"")</f>
      </c>
      <c r="I53" s="11">
        <f>IF(INDEX(precios!$J$3:$J$500,MATCH($B53,precios!$A$3:$A$500,0))&gt;0,INDEX(precios!$J$3:$J$500,MATCH($B53,precios!$A$3:$A$500,0))/$B$4,"")</f>
      </c>
      <c r="J53" s="11">
        <f>IF(INDEX(precios!$K$3:$K$500,MATCH($B53,precios!$A$3:$A$500,0))&gt;0,INDEX(precios!$K$3:$K$500,MATCH($B53,precios!$A$3:$A$500,0))/$B$4,"")</f>
      </c>
      <c r="K53" s="11">
        <f>IF(INDEX(precios!$L$3:$L$500,MATCH($B53,precios!$A$3:$A$500,0))&gt;0,INDEX(precios!$L$3:$L$500,MATCH($B53,precios!$A$3:$A$500,0))/$B$4,"")</f>
      </c>
      <c r="L53" s="11">
        <f>IF(INDEX(precios!$M$3:$M$500,MATCH($B53,precios!$A$3:$A$500,0))&gt;0,INDEX(precios!$M$3:$M$500,MATCH($B53,precios!$A$3:$A$500,0))/$B$4,"")</f>
      </c>
      <c r="M53" s="11">
        <f>IF(INDEX(precios!$N$3:$N$500,MATCH($B53,precios!$A$3:$A$500,0))&gt;0,INDEX(precios!$N$3:$N$500,MATCH($B53,precios!$A$3:$A$500,0))/$B$4,"")</f>
      </c>
      <c r="N53" s="11">
        <f>SUM(D53:M53)</f>
      </c>
    </row>
    <row r="54" spans="1:14" x14ac:dyDescent="0.25">
      <c r="A54" t="s">
        <v>418</v>
      </c>
      <c r="B54" t="s">
        <v>432</v>
      </c>
      <c r="C54">
        <f>INDEX(precios!$C$3:$C$500,MATCH($B54,precios!$A$3:$A$500,0))</f>
      </c>
      <c r="D54" s="11">
        <f>IF(INDEX(precios!$E$3:$E$500,MATCH($B54,precios!$A$3:$A$500,0))&gt;0,INDEX(precios!$E$3:$E$500,MATCH($B54,precios!$A$3:$A$500,0))/$B$4,"")</f>
      </c>
      <c r="E54" s="11">
        <f>IF(INDEX(precios!$F$3:$F$500,MATCH($B54,precios!$A$3:$A$500,0))&gt;0,INDEX(precios!$F$3:$F$500,MATCH($B54,precios!$A$3:$A$500,0))/$B$4,"")</f>
      </c>
      <c r="F54" s="11">
        <f>IF(INDEX(precios!$G$3:$G$500,MATCH($B54,precios!$A$3:$A$500,0))&gt;0,INDEX(precios!$G$3:$G$500,MATCH($B54,precios!$A$3:$A$500,0))/$B$4,"")</f>
      </c>
      <c r="G54" s="11">
        <f>IF(INDEX(precios!$H$3:$H$500,MATCH($B54,precios!$A$3:$A$500,0))&gt;0,INDEX(precios!$H$3:$H$500,MATCH($B54,precios!$A$3:$A$500,0))/$B$4,"")</f>
      </c>
      <c r="H54" s="11">
        <f>IF(INDEX(precios!$I$3:$I$500,MATCH($B54,precios!$A$3:$A$500,0))&gt;0,INDEX(precios!$I$3:$I$500,MATCH($B54,precios!$A$3:$A$500,0))/$B$4,"")</f>
      </c>
      <c r="I54" s="11">
        <f>IF(INDEX(precios!$J$3:$J$500,MATCH($B54,precios!$A$3:$A$500,0))&gt;0,INDEX(precios!$J$3:$J$500,MATCH($B54,precios!$A$3:$A$500,0))/$B$4,"")</f>
      </c>
      <c r="J54" s="11">
        <f>IF(INDEX(precios!$K$3:$K$500,MATCH($B54,precios!$A$3:$A$500,0))&gt;0,INDEX(precios!$K$3:$K$500,MATCH($B54,precios!$A$3:$A$500,0))/$B$4,"")</f>
      </c>
      <c r="K54" s="11">
        <f>IF(INDEX(precios!$L$3:$L$500,MATCH($B54,precios!$A$3:$A$500,0))&gt;0,INDEX(precios!$L$3:$L$500,MATCH($B54,precios!$A$3:$A$500,0))/$B$4,"")</f>
      </c>
      <c r="L54" s="11">
        <f>IF(INDEX(precios!$M$3:$M$500,MATCH($B54,precios!$A$3:$A$500,0))&gt;0,INDEX(precios!$M$3:$M$500,MATCH($B54,precios!$A$3:$A$500,0))/$B$4,"")</f>
      </c>
      <c r="M54" s="11">
        <f>IF(INDEX(precios!$N$3:$N$500,MATCH($B54,precios!$A$3:$A$500,0))&gt;0,INDEX(precios!$N$3:$N$500,MATCH($B54,precios!$A$3:$A$500,0))/$B$4,"")</f>
      </c>
      <c r="N54" s="11">
        <f>SUM(D54:M54)</f>
      </c>
    </row>
    <row r="55" spans="1:14" x14ac:dyDescent="0.25">
      <c r="A55" t="s">
        <v>418</v>
      </c>
      <c r="B55" t="s">
        <v>433</v>
      </c>
      <c r="C55">
        <f>INDEX(precios!$C$3:$C$500,MATCH($B55,precios!$A$3:$A$500,0))</f>
      </c>
      <c r="D55" s="11">
        <f>IF(INDEX(precios!$E$3:$E$500,MATCH($B55,precios!$A$3:$A$500,0))&gt;0,INDEX(precios!$E$3:$E$500,MATCH($B55,precios!$A$3:$A$500,0))/$B$4,"")</f>
      </c>
      <c r="E55" s="11">
        <f>IF(INDEX(precios!$F$3:$F$500,MATCH($B55,precios!$A$3:$A$500,0))&gt;0,INDEX(precios!$F$3:$F$500,MATCH($B55,precios!$A$3:$A$500,0))/$B$4,"")</f>
      </c>
      <c r="F55" s="11">
        <f>IF(INDEX(precios!$G$3:$G$500,MATCH($B55,precios!$A$3:$A$500,0))&gt;0,INDEX(precios!$G$3:$G$500,MATCH($B55,precios!$A$3:$A$500,0))/$B$4,"")</f>
      </c>
      <c r="G55" s="11">
        <f>IF(INDEX(precios!$H$3:$H$500,MATCH($B55,precios!$A$3:$A$500,0))&gt;0,INDEX(precios!$H$3:$H$500,MATCH($B55,precios!$A$3:$A$500,0))/$B$4,"")</f>
      </c>
      <c r="H55" s="11">
        <f>IF(INDEX(precios!$I$3:$I$500,MATCH($B55,precios!$A$3:$A$500,0))&gt;0,INDEX(precios!$I$3:$I$500,MATCH($B55,precios!$A$3:$A$500,0))/$B$4,"")</f>
      </c>
      <c r="I55" s="11">
        <f>IF(INDEX(precios!$J$3:$J$500,MATCH($B55,precios!$A$3:$A$500,0))&gt;0,INDEX(precios!$J$3:$J$500,MATCH($B55,precios!$A$3:$A$500,0))/$B$4,"")</f>
      </c>
      <c r="J55" s="11">
        <f>IF(INDEX(precios!$K$3:$K$500,MATCH($B55,precios!$A$3:$A$500,0))&gt;0,INDEX(precios!$K$3:$K$500,MATCH($B55,precios!$A$3:$A$500,0))/$B$4,"")</f>
      </c>
      <c r="K55" s="11">
        <f>IF(INDEX(precios!$L$3:$L$500,MATCH($B55,precios!$A$3:$A$500,0))&gt;0,INDEX(precios!$L$3:$L$500,MATCH($B55,precios!$A$3:$A$500,0))/$B$4,"")</f>
      </c>
      <c r="L55" s="11">
        <f>IF(INDEX(precios!$M$3:$M$500,MATCH($B55,precios!$A$3:$A$500,0))&gt;0,INDEX(precios!$M$3:$M$500,MATCH($B55,precios!$A$3:$A$500,0))/$B$4,"")</f>
      </c>
      <c r="M55" s="11">
        <f>IF(INDEX(precios!$N$3:$N$500,MATCH($B55,precios!$A$3:$A$500,0))&gt;0,INDEX(precios!$N$3:$N$500,MATCH($B55,precios!$A$3:$A$500,0))/$B$4,"")</f>
      </c>
      <c r="N55" s="11">
        <f>SUM(D55:M55)</f>
      </c>
    </row>
    <row r="56" spans="1:14" x14ac:dyDescent="0.25">
      <c r="A56" t="s">
        <v>418</v>
      </c>
      <c r="B56" t="s">
        <v>434</v>
      </c>
      <c r="C56">
        <f>INDEX(precios!$C$3:$C$500,MATCH($B56,precios!$A$3:$A$500,0))</f>
      </c>
      <c r="D56" s="11">
        <f>IF(INDEX(precios!$E$3:$E$500,MATCH($B56,precios!$A$3:$A$500,0))&gt;0,INDEX(precios!$E$3:$E$500,MATCH($B56,precios!$A$3:$A$500,0))/$B$4,"")</f>
      </c>
      <c r="E56" s="11">
        <f>IF(INDEX(precios!$F$3:$F$500,MATCH($B56,precios!$A$3:$A$500,0))&gt;0,INDEX(precios!$F$3:$F$500,MATCH($B56,precios!$A$3:$A$500,0))/$B$4,"")</f>
      </c>
      <c r="F56" s="11">
        <f>IF(INDEX(precios!$G$3:$G$500,MATCH($B56,precios!$A$3:$A$500,0))&gt;0,INDEX(precios!$G$3:$G$500,MATCH($B56,precios!$A$3:$A$500,0))/$B$4,"")</f>
      </c>
      <c r="G56" s="11">
        <f>IF(INDEX(precios!$H$3:$H$500,MATCH($B56,precios!$A$3:$A$500,0))&gt;0,INDEX(precios!$H$3:$H$500,MATCH($B56,precios!$A$3:$A$500,0))/$B$4,"")</f>
      </c>
      <c r="H56" s="11">
        <f>IF(INDEX(precios!$I$3:$I$500,MATCH($B56,precios!$A$3:$A$500,0))&gt;0,INDEX(precios!$I$3:$I$500,MATCH($B56,precios!$A$3:$A$500,0))/$B$4,"")</f>
      </c>
      <c r="I56" s="11">
        <f>IF(INDEX(precios!$J$3:$J$500,MATCH($B56,precios!$A$3:$A$500,0))&gt;0,INDEX(precios!$J$3:$J$500,MATCH($B56,precios!$A$3:$A$500,0))/$B$4,"")</f>
      </c>
      <c r="J56" s="11">
        <f>IF(INDEX(precios!$K$3:$K$500,MATCH($B56,precios!$A$3:$A$500,0))&gt;0,INDEX(precios!$K$3:$K$500,MATCH($B56,precios!$A$3:$A$500,0))/$B$4,"")</f>
      </c>
      <c r="K56" s="11">
        <f>IF(INDEX(precios!$L$3:$L$500,MATCH($B56,precios!$A$3:$A$500,0))&gt;0,INDEX(precios!$L$3:$L$500,MATCH($B56,precios!$A$3:$A$500,0))/$B$4,"")</f>
      </c>
      <c r="L56" s="11">
        <f>IF(INDEX(precios!$M$3:$M$500,MATCH($B56,precios!$A$3:$A$500,0))&gt;0,INDEX(precios!$M$3:$M$500,MATCH($B56,precios!$A$3:$A$500,0))/$B$4,"")</f>
      </c>
      <c r="M56" s="11">
        <f>IF(INDEX(precios!$N$3:$N$500,MATCH($B56,precios!$A$3:$A$500,0))&gt;0,INDEX(precios!$N$3:$N$500,MATCH($B56,precios!$A$3:$A$500,0))/$B$4,"")</f>
      </c>
      <c r="N56" s="11">
        <f>SUM(D56:M56)</f>
      </c>
    </row>
    <row r="57" spans="1:14" x14ac:dyDescent="0.25">
      <c r="A57" t="s">
        <v>418</v>
      </c>
      <c r="B57" t="s">
        <v>435</v>
      </c>
      <c r="C57">
        <f>INDEX(precios!$C$3:$C$500,MATCH($B57,precios!$A$3:$A$500,0))</f>
      </c>
      <c r="D57" s="11">
        <f>IF(INDEX(precios!$E$3:$E$500,MATCH($B57,precios!$A$3:$A$500,0))&gt;0,INDEX(precios!$E$3:$E$500,MATCH($B57,precios!$A$3:$A$500,0))/$B$4,"")</f>
      </c>
      <c r="E57" s="11">
        <f>IF(INDEX(precios!$F$3:$F$500,MATCH($B57,precios!$A$3:$A$500,0))&gt;0,INDEX(precios!$F$3:$F$500,MATCH($B57,precios!$A$3:$A$500,0))/$B$4,"")</f>
      </c>
      <c r="F57" s="11">
        <f>IF(INDEX(precios!$G$3:$G$500,MATCH($B57,precios!$A$3:$A$500,0))&gt;0,INDEX(precios!$G$3:$G$500,MATCH($B57,precios!$A$3:$A$500,0))/$B$4,"")</f>
      </c>
      <c r="G57" s="11">
        <f>IF(INDEX(precios!$H$3:$H$500,MATCH($B57,precios!$A$3:$A$500,0))&gt;0,INDEX(precios!$H$3:$H$500,MATCH($B57,precios!$A$3:$A$500,0))/$B$4,"")</f>
      </c>
      <c r="H57" s="11">
        <f>IF(INDEX(precios!$I$3:$I$500,MATCH($B57,precios!$A$3:$A$500,0))&gt;0,INDEX(precios!$I$3:$I$500,MATCH($B57,precios!$A$3:$A$500,0))/$B$4,"")</f>
      </c>
      <c r="I57" s="11">
        <f>IF(INDEX(precios!$J$3:$J$500,MATCH($B57,precios!$A$3:$A$500,0))&gt;0,INDEX(precios!$J$3:$J$500,MATCH($B57,precios!$A$3:$A$500,0))/$B$4,"")</f>
      </c>
      <c r="J57" s="11">
        <f>IF(INDEX(precios!$K$3:$K$500,MATCH($B57,precios!$A$3:$A$500,0))&gt;0,INDEX(precios!$K$3:$K$500,MATCH($B57,precios!$A$3:$A$500,0))/$B$4,"")</f>
      </c>
      <c r="K57" s="11">
        <f>IF(INDEX(precios!$L$3:$L$500,MATCH($B57,precios!$A$3:$A$500,0))&gt;0,INDEX(precios!$L$3:$L$500,MATCH($B57,precios!$A$3:$A$500,0))/$B$4,"")</f>
      </c>
      <c r="L57" s="11">
        <f>IF(INDEX(precios!$M$3:$M$500,MATCH($B57,precios!$A$3:$A$500,0))&gt;0,INDEX(precios!$M$3:$M$500,MATCH($B57,precios!$A$3:$A$500,0))/$B$4,"")</f>
      </c>
      <c r="M57" s="11">
        <f>IF(INDEX(precios!$N$3:$N$500,MATCH($B57,precios!$A$3:$A$500,0))&gt;0,INDEX(precios!$N$3:$N$500,MATCH($B57,precios!$A$3:$A$500,0))/$B$4,"")</f>
      </c>
      <c r="N57" s="11">
        <f>SUM(D57:M57)</f>
      </c>
    </row>
    <row r="58" spans="1:14" x14ac:dyDescent="0.25">
      <c r="A58" t="s">
        <v>418</v>
      </c>
      <c r="B58" t="s">
        <v>436</v>
      </c>
      <c r="C58">
        <f>INDEX(precios!$C$3:$C$500,MATCH($B58,precios!$A$3:$A$500,0))</f>
      </c>
      <c r="D58" s="11">
        <f>IF(INDEX(precios!$E$3:$E$500,MATCH($B58,precios!$A$3:$A$500,0))&gt;0,INDEX(precios!$E$3:$E$500,MATCH($B58,precios!$A$3:$A$500,0))/$B$4,"")</f>
      </c>
      <c r="E58" s="11">
        <f>IF(INDEX(precios!$F$3:$F$500,MATCH($B58,precios!$A$3:$A$500,0))&gt;0,INDEX(precios!$F$3:$F$500,MATCH($B58,precios!$A$3:$A$500,0))/$B$4,"")</f>
      </c>
      <c r="F58" s="11">
        <f>IF(INDEX(precios!$G$3:$G$500,MATCH($B58,precios!$A$3:$A$500,0))&gt;0,INDEX(precios!$G$3:$G$500,MATCH($B58,precios!$A$3:$A$500,0))/$B$4,"")</f>
      </c>
      <c r="G58" s="11">
        <f>IF(INDEX(precios!$H$3:$H$500,MATCH($B58,precios!$A$3:$A$500,0))&gt;0,INDEX(precios!$H$3:$H$500,MATCH($B58,precios!$A$3:$A$500,0))/$B$4,"")</f>
      </c>
      <c r="H58" s="11">
        <f>IF(INDEX(precios!$I$3:$I$500,MATCH($B58,precios!$A$3:$A$500,0))&gt;0,INDEX(precios!$I$3:$I$500,MATCH($B58,precios!$A$3:$A$500,0))/$B$4,"")</f>
      </c>
      <c r="I58" s="11">
        <f>IF(INDEX(precios!$J$3:$J$500,MATCH($B58,precios!$A$3:$A$500,0))&gt;0,INDEX(precios!$J$3:$J$500,MATCH($B58,precios!$A$3:$A$500,0))/$B$4,"")</f>
      </c>
      <c r="J58" s="11">
        <f>IF(INDEX(precios!$K$3:$K$500,MATCH($B58,precios!$A$3:$A$500,0))&gt;0,INDEX(precios!$K$3:$K$500,MATCH($B58,precios!$A$3:$A$500,0))/$B$4,"")</f>
      </c>
      <c r="K58" s="11">
        <f>IF(INDEX(precios!$L$3:$L$500,MATCH($B58,precios!$A$3:$A$500,0))&gt;0,INDEX(precios!$L$3:$L$500,MATCH($B58,precios!$A$3:$A$500,0))/$B$4,"")</f>
      </c>
      <c r="L58" s="11">
        <f>IF(INDEX(precios!$M$3:$M$500,MATCH($B58,precios!$A$3:$A$500,0))&gt;0,INDEX(precios!$M$3:$M$500,MATCH($B58,precios!$A$3:$A$500,0))/$B$4,"")</f>
      </c>
      <c r="M58" s="11">
        <f>IF(INDEX(precios!$N$3:$N$500,MATCH($B58,precios!$A$3:$A$500,0))&gt;0,INDEX(precios!$N$3:$N$500,MATCH($B58,precios!$A$3:$A$500,0))/$B$4,"")</f>
      </c>
      <c r="N58" s="11">
        <f>SUM(D58:M58)</f>
      </c>
    </row>
    <row r="59" spans="1:14" x14ac:dyDescent="0.25">
      <c r="A59" t="s">
        <v>418</v>
      </c>
      <c r="B59" t="s">
        <v>437</v>
      </c>
      <c r="C59">
        <f>INDEX(precios!$C$3:$C$500,MATCH($B59,precios!$A$3:$A$500,0))</f>
      </c>
      <c r="D59" s="11">
        <f>IF(INDEX(precios!$E$3:$E$500,MATCH($B59,precios!$A$3:$A$500,0))&gt;0,INDEX(precios!$E$3:$E$500,MATCH($B59,precios!$A$3:$A$500,0))/$B$4,"")</f>
      </c>
      <c r="E59" s="11">
        <f>IF(INDEX(precios!$F$3:$F$500,MATCH($B59,precios!$A$3:$A$500,0))&gt;0,INDEX(precios!$F$3:$F$500,MATCH($B59,precios!$A$3:$A$500,0))/$B$4,"")</f>
      </c>
      <c r="F59" s="11">
        <f>IF(INDEX(precios!$G$3:$G$500,MATCH($B59,precios!$A$3:$A$500,0))&gt;0,INDEX(precios!$G$3:$G$500,MATCH($B59,precios!$A$3:$A$500,0))/$B$4,"")</f>
      </c>
      <c r="G59" s="11">
        <f>IF(INDEX(precios!$H$3:$H$500,MATCH($B59,precios!$A$3:$A$500,0))&gt;0,INDEX(precios!$H$3:$H$500,MATCH($B59,precios!$A$3:$A$500,0))/$B$4,"")</f>
      </c>
      <c r="H59" s="11">
        <f>IF(INDEX(precios!$I$3:$I$500,MATCH($B59,precios!$A$3:$A$500,0))&gt;0,INDEX(precios!$I$3:$I$500,MATCH($B59,precios!$A$3:$A$500,0))/$B$4,"")</f>
      </c>
      <c r="I59" s="11">
        <f>IF(INDEX(precios!$J$3:$J$500,MATCH($B59,precios!$A$3:$A$500,0))&gt;0,INDEX(precios!$J$3:$J$500,MATCH($B59,precios!$A$3:$A$500,0))/$B$4,"")</f>
      </c>
      <c r="J59" s="11">
        <f>IF(INDEX(precios!$K$3:$K$500,MATCH($B59,precios!$A$3:$A$500,0))&gt;0,INDEX(precios!$K$3:$K$500,MATCH($B59,precios!$A$3:$A$500,0))/$B$4,"")</f>
      </c>
      <c r="K59" s="11">
        <f>IF(INDEX(precios!$L$3:$L$500,MATCH($B59,precios!$A$3:$A$500,0))&gt;0,INDEX(precios!$L$3:$L$500,MATCH($B59,precios!$A$3:$A$500,0))/$B$4,"")</f>
      </c>
      <c r="L59" s="11">
        <f>IF(INDEX(precios!$M$3:$M$500,MATCH($B59,precios!$A$3:$A$500,0))&gt;0,INDEX(precios!$M$3:$M$500,MATCH($B59,precios!$A$3:$A$500,0))/$B$4,"")</f>
      </c>
      <c r="M59" s="11">
        <f>IF(INDEX(precios!$N$3:$N$500,MATCH($B59,precios!$A$3:$A$500,0))&gt;0,INDEX(precios!$N$3:$N$500,MATCH($B59,precios!$A$3:$A$500,0))/$B$4,"")</f>
      </c>
      <c r="N59" s="11">
        <f>SUM(D59:M59)</f>
      </c>
    </row>
    <row r="60" spans="1:14" x14ac:dyDescent="0.25">
      <c r="A60" t="s">
        <v>418</v>
      </c>
      <c r="B60" t="s">
        <v>438</v>
      </c>
      <c r="C60">
        <f>INDEX(precios!$C$3:$C$500,MATCH($B60,precios!$A$3:$A$500,0))</f>
      </c>
      <c r="D60" s="11">
        <f>IF(INDEX(precios!$E$3:$E$500,MATCH($B60,precios!$A$3:$A$500,0))&gt;0,INDEX(precios!$E$3:$E$500,MATCH($B60,precios!$A$3:$A$500,0))/$B$4,"")</f>
      </c>
      <c r="E60" s="11">
        <f>IF(INDEX(precios!$F$3:$F$500,MATCH($B60,precios!$A$3:$A$500,0))&gt;0,INDEX(precios!$F$3:$F$500,MATCH($B60,precios!$A$3:$A$500,0))/$B$4,"")</f>
      </c>
      <c r="F60" s="11">
        <f>IF(INDEX(precios!$G$3:$G$500,MATCH($B60,precios!$A$3:$A$500,0))&gt;0,INDEX(precios!$G$3:$G$500,MATCH($B60,precios!$A$3:$A$500,0))/$B$4,"")</f>
      </c>
      <c r="G60" s="11">
        <f>IF(INDEX(precios!$H$3:$H$500,MATCH($B60,precios!$A$3:$A$500,0))&gt;0,INDEX(precios!$H$3:$H$500,MATCH($B60,precios!$A$3:$A$500,0))/$B$4,"")</f>
      </c>
      <c r="H60" s="11">
        <f>IF(INDEX(precios!$I$3:$I$500,MATCH($B60,precios!$A$3:$A$500,0))&gt;0,INDEX(precios!$I$3:$I$500,MATCH($B60,precios!$A$3:$A$500,0))/$B$4,"")</f>
      </c>
      <c r="I60" s="11">
        <f>IF(INDEX(precios!$J$3:$J$500,MATCH($B60,precios!$A$3:$A$500,0))&gt;0,INDEX(precios!$J$3:$J$500,MATCH($B60,precios!$A$3:$A$500,0))/$B$4,"")</f>
      </c>
      <c r="J60" s="11">
        <f>IF(INDEX(precios!$K$3:$K$500,MATCH($B60,precios!$A$3:$A$500,0))&gt;0,INDEX(precios!$K$3:$K$500,MATCH($B60,precios!$A$3:$A$500,0))/$B$4,"")</f>
      </c>
      <c r="K60" s="11">
        <f>IF(INDEX(precios!$L$3:$L$500,MATCH($B60,precios!$A$3:$A$500,0))&gt;0,INDEX(precios!$L$3:$L$500,MATCH($B60,precios!$A$3:$A$500,0))/$B$4,"")</f>
      </c>
      <c r="L60" s="11">
        <f>IF(INDEX(precios!$M$3:$M$500,MATCH($B60,precios!$A$3:$A$500,0))&gt;0,INDEX(precios!$M$3:$M$500,MATCH($B60,precios!$A$3:$A$500,0))/$B$4,"")</f>
      </c>
      <c r="M60" s="11">
        <f>IF(INDEX(precios!$N$3:$N$500,MATCH($B60,precios!$A$3:$A$500,0))&gt;0,INDEX(precios!$N$3:$N$500,MATCH($B60,precios!$A$3:$A$500,0))/$B$4,"")</f>
      </c>
      <c r="N60" s="11">
        <f>SUM(D60:M60)</f>
      </c>
    </row>
    <row r="61" spans="1:14" x14ac:dyDescent="0.25">
      <c r="A61" t="s">
        <v>418</v>
      </c>
      <c r="B61" t="s">
        <v>439</v>
      </c>
      <c r="C61">
        <f>INDEX(precios!$C$3:$C$500,MATCH($B61,precios!$A$3:$A$500,0))</f>
      </c>
      <c r="D61" s="11">
        <f>IF(INDEX(precios!$E$3:$E$500,MATCH($B61,precios!$A$3:$A$500,0))&gt;0,INDEX(precios!$E$3:$E$500,MATCH($B61,precios!$A$3:$A$500,0))/$B$4,"")</f>
      </c>
      <c r="E61" s="11">
        <f>IF(INDEX(precios!$F$3:$F$500,MATCH($B61,precios!$A$3:$A$500,0))&gt;0,INDEX(precios!$F$3:$F$500,MATCH($B61,precios!$A$3:$A$500,0))/$B$4,"")</f>
      </c>
      <c r="F61" s="11">
        <f>IF(INDEX(precios!$G$3:$G$500,MATCH($B61,precios!$A$3:$A$500,0))&gt;0,INDEX(precios!$G$3:$G$500,MATCH($B61,precios!$A$3:$A$500,0))/$B$4,"")</f>
      </c>
      <c r="G61" s="11">
        <f>IF(INDEX(precios!$H$3:$H$500,MATCH($B61,precios!$A$3:$A$500,0))&gt;0,INDEX(precios!$H$3:$H$500,MATCH($B61,precios!$A$3:$A$500,0))/$B$4,"")</f>
      </c>
      <c r="H61" s="11">
        <f>IF(INDEX(precios!$I$3:$I$500,MATCH($B61,precios!$A$3:$A$500,0))&gt;0,INDEX(precios!$I$3:$I$500,MATCH($B61,precios!$A$3:$A$500,0))/$B$4,"")</f>
      </c>
      <c r="I61" s="11">
        <f>IF(INDEX(precios!$J$3:$J$500,MATCH($B61,precios!$A$3:$A$500,0))&gt;0,INDEX(precios!$J$3:$J$500,MATCH($B61,precios!$A$3:$A$500,0))/$B$4,"")</f>
      </c>
      <c r="J61" s="11">
        <f>IF(INDEX(precios!$K$3:$K$500,MATCH($B61,precios!$A$3:$A$500,0))&gt;0,INDEX(precios!$K$3:$K$500,MATCH($B61,precios!$A$3:$A$500,0))/$B$4,"")</f>
      </c>
      <c r="K61" s="11">
        <f>IF(INDEX(precios!$L$3:$L$500,MATCH($B61,precios!$A$3:$A$500,0))&gt;0,INDEX(precios!$L$3:$L$500,MATCH($B61,precios!$A$3:$A$500,0))/$B$4,"")</f>
      </c>
      <c r="L61" s="11">
        <f>IF(INDEX(precios!$M$3:$M$500,MATCH($B61,precios!$A$3:$A$500,0))&gt;0,INDEX(precios!$M$3:$M$500,MATCH($B61,precios!$A$3:$A$500,0))/$B$4,"")</f>
      </c>
      <c r="M61" s="11">
        <f>IF(INDEX(precios!$N$3:$N$500,MATCH($B61,precios!$A$3:$A$500,0))&gt;0,INDEX(precios!$N$3:$N$500,MATCH($B61,precios!$A$3:$A$500,0))/$B$4,"")</f>
      </c>
      <c r="N61" s="11">
        <f>SUM(D61:M61)</f>
      </c>
    </row>
    <row r="62" spans="1:14" x14ac:dyDescent="0.25">
      <c r="A62" t="s">
        <v>418</v>
      </c>
      <c r="B62" t="s">
        <v>440</v>
      </c>
      <c r="C62">
        <f>INDEX(precios!$C$3:$C$500,MATCH($B62,precios!$A$3:$A$500,0))</f>
      </c>
      <c r="D62" s="11">
        <f>IF(INDEX(precios!$E$3:$E$500,MATCH($B62,precios!$A$3:$A$500,0))&gt;0,INDEX(precios!$E$3:$E$500,MATCH($B62,precios!$A$3:$A$500,0))/$B$4,"")</f>
      </c>
      <c r="E62" s="11">
        <f>IF(INDEX(precios!$F$3:$F$500,MATCH($B62,precios!$A$3:$A$500,0))&gt;0,INDEX(precios!$F$3:$F$500,MATCH($B62,precios!$A$3:$A$500,0))/$B$4,"")</f>
      </c>
      <c r="F62" s="11">
        <f>IF(INDEX(precios!$G$3:$G$500,MATCH($B62,precios!$A$3:$A$500,0))&gt;0,INDEX(precios!$G$3:$G$500,MATCH($B62,precios!$A$3:$A$500,0))/$B$4,"")</f>
      </c>
      <c r="G62" s="11">
        <f>IF(INDEX(precios!$H$3:$H$500,MATCH($B62,precios!$A$3:$A$500,0))&gt;0,INDEX(precios!$H$3:$H$500,MATCH($B62,precios!$A$3:$A$500,0))/$B$4,"")</f>
      </c>
      <c r="H62" s="11">
        <f>IF(INDEX(precios!$I$3:$I$500,MATCH($B62,precios!$A$3:$A$500,0))&gt;0,INDEX(precios!$I$3:$I$500,MATCH($B62,precios!$A$3:$A$500,0))/$B$4,"")</f>
      </c>
      <c r="I62" s="11">
        <f>IF(INDEX(precios!$J$3:$J$500,MATCH($B62,precios!$A$3:$A$500,0))&gt;0,INDEX(precios!$J$3:$J$500,MATCH($B62,precios!$A$3:$A$500,0))/$B$4,"")</f>
      </c>
      <c r="J62" s="11">
        <f>IF(INDEX(precios!$K$3:$K$500,MATCH($B62,precios!$A$3:$A$500,0))&gt;0,INDEX(precios!$K$3:$K$500,MATCH($B62,precios!$A$3:$A$500,0))/$B$4,"")</f>
      </c>
      <c r="K62" s="11">
        <f>IF(INDEX(precios!$L$3:$L$500,MATCH($B62,precios!$A$3:$A$500,0))&gt;0,INDEX(precios!$L$3:$L$500,MATCH($B62,precios!$A$3:$A$500,0))/$B$4,"")</f>
      </c>
      <c r="L62" s="11">
        <f>IF(INDEX(precios!$M$3:$M$500,MATCH($B62,precios!$A$3:$A$500,0))&gt;0,INDEX(precios!$M$3:$M$500,MATCH($B62,precios!$A$3:$A$500,0))/$B$4,"")</f>
      </c>
      <c r="M62" s="11">
        <f>IF(INDEX(precios!$N$3:$N$500,MATCH($B62,precios!$A$3:$A$500,0))&gt;0,INDEX(precios!$N$3:$N$500,MATCH($B62,precios!$A$3:$A$500,0))/$B$4,"")</f>
      </c>
      <c r="N62" s="11">
        <f>SUM(D62:M62)</f>
      </c>
    </row>
    <row r="63" spans="1:14" x14ac:dyDescent="0.25">
      <c r="A63" t="s">
        <v>418</v>
      </c>
      <c r="B63" t="s">
        <v>441</v>
      </c>
      <c r="C63">
        <f>INDEX(precios!$C$3:$C$500,MATCH($B63,precios!$A$3:$A$500,0))</f>
      </c>
      <c r="D63" s="11">
        <f>IF(INDEX(precios!$E$3:$E$500,MATCH($B63,precios!$A$3:$A$500,0))&gt;0,INDEX(precios!$E$3:$E$500,MATCH($B63,precios!$A$3:$A$500,0))/$B$4,"")</f>
      </c>
      <c r="E63" s="11">
        <f>IF(INDEX(precios!$F$3:$F$500,MATCH($B63,precios!$A$3:$A$500,0))&gt;0,INDEX(precios!$F$3:$F$500,MATCH($B63,precios!$A$3:$A$500,0))/$B$4,"")</f>
      </c>
      <c r="F63" s="11">
        <f>IF(INDEX(precios!$G$3:$G$500,MATCH($B63,precios!$A$3:$A$500,0))&gt;0,INDEX(precios!$G$3:$G$500,MATCH($B63,precios!$A$3:$A$500,0))/$B$4,"")</f>
      </c>
      <c r="G63" s="11">
        <f>IF(INDEX(precios!$H$3:$H$500,MATCH($B63,precios!$A$3:$A$500,0))&gt;0,INDEX(precios!$H$3:$H$500,MATCH($B63,precios!$A$3:$A$500,0))/$B$4,"")</f>
      </c>
      <c r="H63" s="11">
        <f>IF(INDEX(precios!$I$3:$I$500,MATCH($B63,precios!$A$3:$A$500,0))&gt;0,INDEX(precios!$I$3:$I$500,MATCH($B63,precios!$A$3:$A$500,0))/$B$4,"")</f>
      </c>
      <c r="I63" s="11">
        <f>IF(INDEX(precios!$J$3:$J$500,MATCH($B63,precios!$A$3:$A$500,0))&gt;0,INDEX(precios!$J$3:$J$500,MATCH($B63,precios!$A$3:$A$500,0))/$B$4,"")</f>
      </c>
      <c r="J63" s="11">
        <f>IF(INDEX(precios!$K$3:$K$500,MATCH($B63,precios!$A$3:$A$500,0))&gt;0,INDEX(precios!$K$3:$K$500,MATCH($B63,precios!$A$3:$A$500,0))/$B$4,"")</f>
      </c>
      <c r="K63" s="11">
        <f>IF(INDEX(precios!$L$3:$L$500,MATCH($B63,precios!$A$3:$A$500,0))&gt;0,INDEX(precios!$L$3:$L$500,MATCH($B63,precios!$A$3:$A$500,0))/$B$4,"")</f>
      </c>
      <c r="L63" s="11">
        <f>IF(INDEX(precios!$M$3:$M$500,MATCH($B63,precios!$A$3:$A$500,0))&gt;0,INDEX(precios!$M$3:$M$500,MATCH($B63,precios!$A$3:$A$500,0))/$B$4,"")</f>
      </c>
      <c r="M63" s="11">
        <f>IF(INDEX(precios!$N$3:$N$500,MATCH($B63,precios!$A$3:$A$500,0))&gt;0,INDEX(precios!$N$3:$N$500,MATCH($B63,precios!$A$3:$A$500,0))/$B$4,"")</f>
      </c>
      <c r="N63" s="11">
        <f>SUM(D63:M63)</f>
      </c>
    </row>
    <row r="64" spans="1:14" x14ac:dyDescent="0.25">
      <c r="A64" t="s">
        <v>418</v>
      </c>
      <c r="B64" t="s">
        <v>442</v>
      </c>
      <c r="C64">
        <f>INDEX(precios!$C$3:$C$500,MATCH($B64,precios!$A$3:$A$500,0))</f>
      </c>
      <c r="D64" s="11">
        <f>IF(INDEX(precios!$E$3:$E$500,MATCH($B64,precios!$A$3:$A$500,0))&gt;0,INDEX(precios!$E$3:$E$500,MATCH($B64,precios!$A$3:$A$500,0))/$B$4,"")</f>
      </c>
      <c r="E64" s="11">
        <f>IF(INDEX(precios!$F$3:$F$500,MATCH($B64,precios!$A$3:$A$500,0))&gt;0,INDEX(precios!$F$3:$F$500,MATCH($B64,precios!$A$3:$A$500,0))/$B$4,"")</f>
      </c>
      <c r="F64" s="11">
        <f>IF(INDEX(precios!$G$3:$G$500,MATCH($B64,precios!$A$3:$A$500,0))&gt;0,INDEX(precios!$G$3:$G$500,MATCH($B64,precios!$A$3:$A$500,0))/$B$4,"")</f>
      </c>
      <c r="G64" s="11">
        <f>IF(INDEX(precios!$H$3:$H$500,MATCH($B64,precios!$A$3:$A$500,0))&gt;0,INDEX(precios!$H$3:$H$500,MATCH($B64,precios!$A$3:$A$500,0))/$B$4,"")</f>
      </c>
      <c r="H64" s="11">
        <f>IF(INDEX(precios!$I$3:$I$500,MATCH($B64,precios!$A$3:$A$500,0))&gt;0,INDEX(precios!$I$3:$I$500,MATCH($B64,precios!$A$3:$A$500,0))/$B$4,"")</f>
      </c>
      <c r="I64" s="11">
        <f>IF(INDEX(precios!$J$3:$J$500,MATCH($B64,precios!$A$3:$A$500,0))&gt;0,INDEX(precios!$J$3:$J$500,MATCH($B64,precios!$A$3:$A$500,0))/$B$4,"")</f>
      </c>
      <c r="J64" s="11">
        <f>IF(INDEX(precios!$K$3:$K$500,MATCH($B64,precios!$A$3:$A$500,0))&gt;0,INDEX(precios!$K$3:$K$500,MATCH($B64,precios!$A$3:$A$500,0))/$B$4,"")</f>
      </c>
      <c r="K64" s="11">
        <f>IF(INDEX(precios!$L$3:$L$500,MATCH($B64,precios!$A$3:$A$500,0))&gt;0,INDEX(precios!$L$3:$L$500,MATCH($B64,precios!$A$3:$A$500,0))/$B$4,"")</f>
      </c>
      <c r="L64" s="11">
        <f>IF(INDEX(precios!$M$3:$M$500,MATCH($B64,precios!$A$3:$A$500,0))&gt;0,INDEX(precios!$M$3:$M$500,MATCH($B64,precios!$A$3:$A$500,0))/$B$4,"")</f>
      </c>
      <c r="M64" s="11">
        <f>IF(INDEX(precios!$N$3:$N$500,MATCH($B64,precios!$A$3:$A$500,0))&gt;0,INDEX(precios!$N$3:$N$500,MATCH($B64,precios!$A$3:$A$500,0))/$B$4,"")</f>
      </c>
      <c r="N64" s="11">
        <f>SUM(D64:M64)</f>
      </c>
    </row>
    <row r="65" spans="1:14" x14ac:dyDescent="0.25">
      <c r="A65" t="s">
        <v>418</v>
      </c>
      <c r="B65" t="s">
        <v>443</v>
      </c>
      <c r="C65">
        <f>INDEX(precios!$C$3:$C$500,MATCH($B65,precios!$A$3:$A$500,0))</f>
      </c>
      <c r="D65" s="11">
        <f>IF(INDEX(precios!$E$3:$E$500,MATCH($B65,precios!$A$3:$A$500,0))&gt;0,INDEX(precios!$E$3:$E$500,MATCH($B65,precios!$A$3:$A$500,0))/$B$4,"")</f>
      </c>
      <c r="E65" s="11">
        <f>IF(INDEX(precios!$F$3:$F$500,MATCH($B65,precios!$A$3:$A$500,0))&gt;0,INDEX(precios!$F$3:$F$500,MATCH($B65,precios!$A$3:$A$500,0))/$B$4,"")</f>
      </c>
      <c r="F65" s="11">
        <f>IF(INDEX(precios!$G$3:$G$500,MATCH($B65,precios!$A$3:$A$500,0))&gt;0,INDEX(precios!$G$3:$G$500,MATCH($B65,precios!$A$3:$A$500,0))/$B$4,"")</f>
      </c>
      <c r="G65" s="11">
        <f>IF(INDEX(precios!$H$3:$H$500,MATCH($B65,precios!$A$3:$A$500,0))&gt;0,INDEX(precios!$H$3:$H$500,MATCH($B65,precios!$A$3:$A$500,0))/$B$4,"")</f>
      </c>
      <c r="H65" s="11">
        <f>IF(INDEX(precios!$I$3:$I$500,MATCH($B65,precios!$A$3:$A$500,0))&gt;0,INDEX(precios!$I$3:$I$500,MATCH($B65,precios!$A$3:$A$500,0))/$B$4,"")</f>
      </c>
      <c r="I65" s="11">
        <f>IF(INDEX(precios!$J$3:$J$500,MATCH($B65,precios!$A$3:$A$500,0))&gt;0,INDEX(precios!$J$3:$J$500,MATCH($B65,precios!$A$3:$A$500,0))/$B$4,"")</f>
      </c>
      <c r="J65" s="11">
        <f>IF(INDEX(precios!$K$3:$K$500,MATCH($B65,precios!$A$3:$A$500,0))&gt;0,INDEX(precios!$K$3:$K$500,MATCH($B65,precios!$A$3:$A$500,0))/$B$4,"")</f>
      </c>
      <c r="K65" s="11">
        <f>IF(INDEX(precios!$L$3:$L$500,MATCH($B65,precios!$A$3:$A$500,0))&gt;0,INDEX(precios!$L$3:$L$500,MATCH($B65,precios!$A$3:$A$500,0))/$B$4,"")</f>
      </c>
      <c r="L65" s="11">
        <f>IF(INDEX(precios!$M$3:$M$500,MATCH($B65,precios!$A$3:$A$500,0))&gt;0,INDEX(precios!$M$3:$M$500,MATCH($B65,precios!$A$3:$A$500,0))/$B$4,"")</f>
      </c>
      <c r="M65" s="11">
        <f>IF(INDEX(precios!$N$3:$N$500,MATCH($B65,precios!$A$3:$A$500,0))&gt;0,INDEX(precios!$N$3:$N$500,MATCH($B65,precios!$A$3:$A$500,0))/$B$4,"")</f>
      </c>
      <c r="N65" s="11">
        <f>SUM(D65:M65)</f>
      </c>
    </row>
    <row r="66" spans="1:14" x14ac:dyDescent="0.25">
      <c r="A66" t="s">
        <v>418</v>
      </c>
      <c r="B66" t="s">
        <v>444</v>
      </c>
      <c r="C66">
        <f>INDEX(precios!$C$3:$C$500,MATCH($B66,precios!$A$3:$A$500,0))</f>
      </c>
      <c r="D66" s="11">
        <f>IF(INDEX(precios!$E$3:$E$500,MATCH($B66,precios!$A$3:$A$500,0))&gt;0,INDEX(precios!$E$3:$E$500,MATCH($B66,precios!$A$3:$A$500,0))/$B$4,"")</f>
      </c>
      <c r="E66" s="11">
        <f>IF(INDEX(precios!$F$3:$F$500,MATCH($B66,precios!$A$3:$A$500,0))&gt;0,INDEX(precios!$F$3:$F$500,MATCH($B66,precios!$A$3:$A$500,0))/$B$4,"")</f>
      </c>
      <c r="F66" s="11">
        <f>IF(INDEX(precios!$G$3:$G$500,MATCH($B66,precios!$A$3:$A$500,0))&gt;0,INDEX(precios!$G$3:$G$500,MATCH($B66,precios!$A$3:$A$500,0))/$B$4,"")</f>
      </c>
      <c r="G66" s="11">
        <f>IF(INDEX(precios!$H$3:$H$500,MATCH($B66,precios!$A$3:$A$500,0))&gt;0,INDEX(precios!$H$3:$H$500,MATCH($B66,precios!$A$3:$A$500,0))/$B$4,"")</f>
      </c>
      <c r="H66" s="11">
        <f>IF(INDEX(precios!$I$3:$I$500,MATCH($B66,precios!$A$3:$A$500,0))&gt;0,INDEX(precios!$I$3:$I$500,MATCH($B66,precios!$A$3:$A$500,0))/$B$4,"")</f>
      </c>
      <c r="I66" s="11">
        <f>IF(INDEX(precios!$J$3:$J$500,MATCH($B66,precios!$A$3:$A$500,0))&gt;0,INDEX(precios!$J$3:$J$500,MATCH($B66,precios!$A$3:$A$500,0))/$B$4,"")</f>
      </c>
      <c r="J66" s="11">
        <f>IF(INDEX(precios!$K$3:$K$500,MATCH($B66,precios!$A$3:$A$500,0))&gt;0,INDEX(precios!$K$3:$K$500,MATCH($B66,precios!$A$3:$A$500,0))/$B$4,"")</f>
      </c>
      <c r="K66" s="11">
        <f>IF(INDEX(precios!$L$3:$L$500,MATCH($B66,precios!$A$3:$A$500,0))&gt;0,INDEX(precios!$L$3:$L$500,MATCH($B66,precios!$A$3:$A$500,0))/$B$4,"")</f>
      </c>
      <c r="L66" s="11">
        <f>IF(INDEX(precios!$M$3:$M$500,MATCH($B66,precios!$A$3:$A$500,0))&gt;0,INDEX(precios!$M$3:$M$500,MATCH($B66,precios!$A$3:$A$500,0))/$B$4,"")</f>
      </c>
      <c r="M66" s="11">
        <f>IF(INDEX(precios!$N$3:$N$500,MATCH($B66,precios!$A$3:$A$500,0))&gt;0,INDEX(precios!$N$3:$N$500,MATCH($B66,precios!$A$3:$A$500,0))/$B$4,"")</f>
      </c>
      <c r="N66" s="11">
        <f>SUM(D66:M66)</f>
      </c>
    </row>
    <row r="67" spans="1:14" x14ac:dyDescent="0.25">
      <c r="A67" t="s">
        <v>387</v>
      </c>
      <c r="B67" t="s">
        <v>445</v>
      </c>
      <c r="C67">
        <f>INDEX(precios!$C$3:$C$500,MATCH($B67,precios!$A$3:$A$500,0))</f>
      </c>
      <c r="D67" s="11">
        <f>IF(INDEX(precios!$E$3:$E$500,MATCH($B67,precios!$A$3:$A$500,0))&gt;0,INDEX(precios!$E$3:$E$500,MATCH($B67,precios!$A$3:$A$500,0))/$B$4,"")</f>
      </c>
      <c r="E67" s="11">
        <f>IF(INDEX(precios!$F$3:$F$500,MATCH($B67,precios!$A$3:$A$500,0))&gt;0,INDEX(precios!$F$3:$F$500,MATCH($B67,precios!$A$3:$A$500,0))/$B$4,"")</f>
      </c>
      <c r="F67" s="11">
        <f>IF(INDEX(precios!$G$3:$G$500,MATCH($B67,precios!$A$3:$A$500,0))&gt;0,INDEX(precios!$G$3:$G$500,MATCH($B67,precios!$A$3:$A$500,0))/$B$4,"")</f>
      </c>
      <c r="G67" s="11">
        <f>IF(INDEX(precios!$H$3:$H$500,MATCH($B67,precios!$A$3:$A$500,0))&gt;0,INDEX(precios!$H$3:$H$500,MATCH($B67,precios!$A$3:$A$500,0))/$B$4,"")</f>
      </c>
      <c r="H67" s="11">
        <f>IF(INDEX(precios!$I$3:$I$500,MATCH($B67,precios!$A$3:$A$500,0))&gt;0,INDEX(precios!$I$3:$I$500,MATCH($B67,precios!$A$3:$A$500,0))/$B$4,"")</f>
      </c>
      <c r="I67" s="11">
        <f>IF(INDEX(precios!$J$3:$J$500,MATCH($B67,precios!$A$3:$A$500,0))&gt;0,INDEX(precios!$J$3:$J$500,MATCH($B67,precios!$A$3:$A$500,0))/$B$4,"")</f>
      </c>
      <c r="J67" s="11">
        <f>IF(INDEX(precios!$K$3:$K$500,MATCH($B67,precios!$A$3:$A$500,0))&gt;0,INDEX(precios!$K$3:$K$500,MATCH($B67,precios!$A$3:$A$500,0))/$B$4,"")</f>
      </c>
      <c r="K67" s="11">
        <f>IF(INDEX(precios!$L$3:$L$500,MATCH($B67,precios!$A$3:$A$500,0))&gt;0,INDEX(precios!$L$3:$L$500,MATCH($B67,precios!$A$3:$A$500,0))/$B$4,"")</f>
      </c>
      <c r="L67" s="11">
        <f>IF(INDEX(precios!$M$3:$M$500,MATCH($B67,precios!$A$3:$A$500,0))&gt;0,INDEX(precios!$M$3:$M$500,MATCH($B67,precios!$A$3:$A$500,0))/$B$4,"")</f>
      </c>
      <c r="M67" s="11">
        <f>IF(INDEX(precios!$N$3:$N$500,MATCH($B67,precios!$A$3:$A$500,0))&gt;0,INDEX(precios!$N$3:$N$500,MATCH($B67,precios!$A$3:$A$500,0))/$B$4,"")</f>
      </c>
      <c r="N67" s="11">
        <f>SUM(D67:M67)</f>
      </c>
    </row>
    <row r="68" spans="1:14" x14ac:dyDescent="0.25">
      <c r="A68" t="s">
        <v>387</v>
      </c>
      <c r="B68" t="s">
        <v>447</v>
      </c>
      <c r="C68">
        <f>INDEX(precios!$C$3:$C$500,MATCH($B68,precios!$A$3:$A$500,0))</f>
      </c>
      <c r="D68" s="11">
        <f>IF(INDEX(precios!$E$3:$E$500,MATCH($B68,precios!$A$3:$A$500,0))&gt;0,INDEX(precios!$E$3:$E$500,MATCH($B68,precios!$A$3:$A$500,0))/$B$4,"")</f>
      </c>
      <c r="E68" s="11">
        <f>IF(INDEX(precios!$F$3:$F$500,MATCH($B68,precios!$A$3:$A$500,0))&gt;0,INDEX(precios!$F$3:$F$500,MATCH($B68,precios!$A$3:$A$500,0))/$B$4,"")</f>
      </c>
      <c r="F68" s="11">
        <f>IF(INDEX(precios!$G$3:$G$500,MATCH($B68,precios!$A$3:$A$500,0))&gt;0,INDEX(precios!$G$3:$G$500,MATCH($B68,precios!$A$3:$A$500,0))/$B$4,"")</f>
      </c>
      <c r="G68" s="11">
        <f>IF(INDEX(precios!$H$3:$H$500,MATCH($B68,precios!$A$3:$A$500,0))&gt;0,INDEX(precios!$H$3:$H$500,MATCH($B68,precios!$A$3:$A$500,0))/$B$4,"")</f>
      </c>
      <c r="H68" s="11">
        <f>IF(INDEX(precios!$I$3:$I$500,MATCH($B68,precios!$A$3:$A$500,0))&gt;0,INDEX(precios!$I$3:$I$500,MATCH($B68,precios!$A$3:$A$500,0))/$B$4,"")</f>
      </c>
      <c r="I68" s="11">
        <f>IF(INDEX(precios!$J$3:$J$500,MATCH($B68,precios!$A$3:$A$500,0))&gt;0,INDEX(precios!$J$3:$J$500,MATCH($B68,precios!$A$3:$A$500,0))/$B$4,"")</f>
      </c>
      <c r="J68" s="11">
        <f>IF(INDEX(precios!$K$3:$K$500,MATCH($B68,precios!$A$3:$A$500,0))&gt;0,INDEX(precios!$K$3:$K$500,MATCH($B68,precios!$A$3:$A$500,0))/$B$4,"")</f>
      </c>
      <c r="K68" s="11">
        <f>IF(INDEX(precios!$L$3:$L$500,MATCH($B68,precios!$A$3:$A$500,0))&gt;0,INDEX(precios!$L$3:$L$500,MATCH($B68,precios!$A$3:$A$500,0))/$B$4,"")</f>
      </c>
      <c r="L68" s="11">
        <f>IF(INDEX(precios!$M$3:$M$500,MATCH($B68,precios!$A$3:$A$500,0))&gt;0,INDEX(precios!$M$3:$M$500,MATCH($B68,precios!$A$3:$A$500,0))/$B$4,"")</f>
      </c>
      <c r="M68" s="11">
        <f>IF(INDEX(precios!$N$3:$N$500,MATCH($B68,precios!$A$3:$A$500,0))&gt;0,INDEX(precios!$N$3:$N$500,MATCH($B68,precios!$A$3:$A$500,0))/$B$4,"")</f>
      </c>
      <c r="N68" s="11">
        <f>SUM(D68:M68)</f>
      </c>
    </row>
    <row r="69" spans="1:14" x14ac:dyDescent="0.25">
      <c r="A69" t="s">
        <v>387</v>
      </c>
      <c r="B69" t="s">
        <v>449</v>
      </c>
      <c r="C69">
        <f>INDEX(precios!$C$3:$C$500,MATCH($B69,precios!$A$3:$A$500,0))</f>
      </c>
      <c r="D69" s="11">
        <f>IF(INDEX(precios!$E$3:$E$500,MATCH($B69,precios!$A$3:$A$500,0))&gt;0,INDEX(precios!$E$3:$E$500,MATCH($B69,precios!$A$3:$A$500,0))/$B$4,"")</f>
      </c>
      <c r="E69" s="11">
        <f>IF(INDEX(precios!$F$3:$F$500,MATCH($B69,precios!$A$3:$A$500,0))&gt;0,INDEX(precios!$F$3:$F$500,MATCH($B69,precios!$A$3:$A$500,0))/$B$4,"")</f>
      </c>
      <c r="F69" s="11">
        <f>IF(INDEX(precios!$G$3:$G$500,MATCH($B69,precios!$A$3:$A$500,0))&gt;0,INDEX(precios!$G$3:$G$500,MATCH($B69,precios!$A$3:$A$500,0))/$B$4,"")</f>
      </c>
      <c r="G69" s="11">
        <f>IF(INDEX(precios!$H$3:$H$500,MATCH($B69,precios!$A$3:$A$500,0))&gt;0,INDEX(precios!$H$3:$H$500,MATCH($B69,precios!$A$3:$A$500,0))/$B$4,"")</f>
      </c>
      <c r="H69" s="11">
        <f>IF(INDEX(precios!$I$3:$I$500,MATCH($B69,precios!$A$3:$A$500,0))&gt;0,INDEX(precios!$I$3:$I$500,MATCH($B69,precios!$A$3:$A$500,0))/$B$4,"")</f>
      </c>
      <c r="I69" s="11">
        <f>IF(INDEX(precios!$J$3:$J$500,MATCH($B69,precios!$A$3:$A$500,0))&gt;0,INDEX(precios!$J$3:$J$500,MATCH($B69,precios!$A$3:$A$500,0))/$B$4,"")</f>
      </c>
      <c r="J69" s="11">
        <f>IF(INDEX(precios!$K$3:$K$500,MATCH($B69,precios!$A$3:$A$500,0))&gt;0,INDEX(precios!$K$3:$K$500,MATCH($B69,precios!$A$3:$A$500,0))/$B$4,"")</f>
      </c>
      <c r="K69" s="11">
        <f>IF(INDEX(precios!$L$3:$L$500,MATCH($B69,precios!$A$3:$A$500,0))&gt;0,INDEX(precios!$L$3:$L$500,MATCH($B69,precios!$A$3:$A$500,0))/$B$4,"")</f>
      </c>
      <c r="L69" s="11">
        <f>IF(INDEX(precios!$M$3:$M$500,MATCH($B69,precios!$A$3:$A$500,0))&gt;0,INDEX(precios!$M$3:$M$500,MATCH($B69,precios!$A$3:$A$500,0))/$B$4,"")</f>
      </c>
      <c r="M69" s="11">
        <f>IF(INDEX(precios!$N$3:$N$500,MATCH($B69,precios!$A$3:$A$500,0))&gt;0,INDEX(precios!$N$3:$N$500,MATCH($B69,precios!$A$3:$A$500,0))/$B$4,"")</f>
      </c>
      <c r="N69" s="11">
        <f>SUM(D69:M69)</f>
      </c>
    </row>
    <row r="70" spans="1:14" x14ac:dyDescent="0.25">
      <c r="A70" t="s">
        <v>387</v>
      </c>
      <c r="B70" t="s">
        <v>451</v>
      </c>
      <c r="C70">
        <f>INDEX(precios!$C$3:$C$500,MATCH($B70,precios!$A$3:$A$500,0))</f>
      </c>
      <c r="D70" s="11">
        <f>IF(INDEX(precios!$E$3:$E$500,MATCH($B70,precios!$A$3:$A$500,0))&gt;0,INDEX(precios!$E$3:$E$500,MATCH($B70,precios!$A$3:$A$500,0))/$B$4,"")</f>
      </c>
      <c r="E70" s="11">
        <f>IF(INDEX(precios!$F$3:$F$500,MATCH($B70,precios!$A$3:$A$500,0))&gt;0,INDEX(precios!$F$3:$F$500,MATCH($B70,precios!$A$3:$A$500,0))/$B$4,"")</f>
      </c>
      <c r="F70" s="11">
        <f>IF(INDEX(precios!$G$3:$G$500,MATCH($B70,precios!$A$3:$A$500,0))&gt;0,INDEX(precios!$G$3:$G$500,MATCH($B70,precios!$A$3:$A$500,0))/$B$4,"")</f>
      </c>
      <c r="G70" s="11">
        <f>IF(INDEX(precios!$H$3:$H$500,MATCH($B70,precios!$A$3:$A$500,0))&gt;0,INDEX(precios!$H$3:$H$500,MATCH($B70,precios!$A$3:$A$500,0))/$B$4,"")</f>
      </c>
      <c r="H70" s="11">
        <f>IF(INDEX(precios!$I$3:$I$500,MATCH($B70,precios!$A$3:$A$500,0))&gt;0,INDEX(precios!$I$3:$I$500,MATCH($B70,precios!$A$3:$A$500,0))/$B$4,"")</f>
      </c>
      <c r="I70" s="11">
        <f>IF(INDEX(precios!$J$3:$J$500,MATCH($B70,precios!$A$3:$A$500,0))&gt;0,INDEX(precios!$J$3:$J$500,MATCH($B70,precios!$A$3:$A$500,0))/$B$4,"")</f>
      </c>
      <c r="J70" s="11">
        <f>IF(INDEX(precios!$K$3:$K$500,MATCH($B70,precios!$A$3:$A$500,0))&gt;0,INDEX(precios!$K$3:$K$500,MATCH($B70,precios!$A$3:$A$500,0))/$B$4,"")</f>
      </c>
      <c r="K70" s="11">
        <f>IF(INDEX(precios!$L$3:$L$500,MATCH($B70,precios!$A$3:$A$500,0))&gt;0,INDEX(precios!$L$3:$L$500,MATCH($B70,precios!$A$3:$A$500,0))/$B$4,"")</f>
      </c>
      <c r="L70" s="11">
        <f>IF(INDEX(precios!$M$3:$M$500,MATCH($B70,precios!$A$3:$A$500,0))&gt;0,INDEX(precios!$M$3:$M$500,MATCH($B70,precios!$A$3:$A$500,0))/$B$4,"")</f>
      </c>
      <c r="M70" s="11">
        <f>IF(INDEX(precios!$N$3:$N$500,MATCH($B70,precios!$A$3:$A$500,0))&gt;0,INDEX(precios!$N$3:$N$500,MATCH($B70,precios!$A$3:$A$500,0))/$B$4,"")</f>
      </c>
      <c r="N70" s="11">
        <f>SUM(D70:M70)</f>
      </c>
    </row>
    <row r="71" spans="1:14" x14ac:dyDescent="0.25">
      <c r="A71" t="s">
        <v>387</v>
      </c>
      <c r="B71" t="s">
        <v>453</v>
      </c>
      <c r="C71">
        <f>INDEX(precios!$C$3:$C$500,MATCH($B71,precios!$A$3:$A$500,0))</f>
      </c>
      <c r="D71" s="11">
        <f>IF(INDEX(precios!$E$3:$E$500,MATCH($B71,precios!$A$3:$A$500,0))&gt;0,INDEX(precios!$E$3:$E$500,MATCH($B71,precios!$A$3:$A$500,0))/$B$4,"")</f>
      </c>
      <c r="E71" s="11">
        <f>IF(INDEX(precios!$F$3:$F$500,MATCH($B71,precios!$A$3:$A$500,0))&gt;0,INDEX(precios!$F$3:$F$500,MATCH($B71,precios!$A$3:$A$500,0))/$B$4,"")</f>
      </c>
      <c r="F71" s="11">
        <f>IF(INDEX(precios!$G$3:$G$500,MATCH($B71,precios!$A$3:$A$500,0))&gt;0,INDEX(precios!$G$3:$G$500,MATCH($B71,precios!$A$3:$A$500,0))/$B$4,"")</f>
      </c>
      <c r="G71" s="11">
        <f>IF(INDEX(precios!$H$3:$H$500,MATCH($B71,precios!$A$3:$A$500,0))&gt;0,INDEX(precios!$H$3:$H$500,MATCH($B71,precios!$A$3:$A$500,0))/$B$4,"")</f>
      </c>
      <c r="H71" s="11">
        <f>IF(INDEX(precios!$I$3:$I$500,MATCH($B71,precios!$A$3:$A$500,0))&gt;0,INDEX(precios!$I$3:$I$500,MATCH($B71,precios!$A$3:$A$500,0))/$B$4,"")</f>
      </c>
      <c r="I71" s="11">
        <f>IF(INDEX(precios!$J$3:$J$500,MATCH($B71,precios!$A$3:$A$500,0))&gt;0,INDEX(precios!$J$3:$J$500,MATCH($B71,precios!$A$3:$A$500,0))/$B$4,"")</f>
      </c>
      <c r="J71" s="11">
        <f>IF(INDEX(precios!$K$3:$K$500,MATCH($B71,precios!$A$3:$A$500,0))&gt;0,INDEX(precios!$K$3:$K$500,MATCH($B71,precios!$A$3:$A$500,0))/$B$4,"")</f>
      </c>
      <c r="K71" s="11">
        <f>IF(INDEX(precios!$L$3:$L$500,MATCH($B71,precios!$A$3:$A$500,0))&gt;0,INDEX(precios!$L$3:$L$500,MATCH($B71,precios!$A$3:$A$500,0))/$B$4,"")</f>
      </c>
      <c r="L71" s="11">
        <f>IF(INDEX(precios!$M$3:$M$500,MATCH($B71,precios!$A$3:$A$500,0))&gt;0,INDEX(precios!$M$3:$M$500,MATCH($B71,precios!$A$3:$A$500,0))/$B$4,"")</f>
      </c>
      <c r="M71" s="11">
        <f>IF(INDEX(precios!$N$3:$N$500,MATCH($B71,precios!$A$3:$A$500,0))&gt;0,INDEX(precios!$N$3:$N$500,MATCH($B71,precios!$A$3:$A$500,0))/$B$4,"")</f>
      </c>
      <c r="N71" s="11">
        <f>SUM(D71:M71)</f>
      </c>
    </row>
    <row r="72" spans="1:14" x14ac:dyDescent="0.25">
      <c r="A72" t="s">
        <v>387</v>
      </c>
      <c r="B72" t="s">
        <v>455</v>
      </c>
      <c r="C72">
        <f>INDEX(precios!$C$3:$C$500,MATCH($B72,precios!$A$3:$A$500,0))</f>
      </c>
      <c r="D72" s="11">
        <f>IF(INDEX(precios!$E$3:$E$500,MATCH($B72,precios!$A$3:$A$500,0))&gt;0,INDEX(precios!$E$3:$E$500,MATCH($B72,precios!$A$3:$A$500,0))/$B$4,"")</f>
      </c>
      <c r="E72" s="11">
        <f>IF(INDEX(precios!$F$3:$F$500,MATCH($B72,precios!$A$3:$A$500,0))&gt;0,INDEX(precios!$F$3:$F$500,MATCH($B72,precios!$A$3:$A$500,0))/$B$4,"")</f>
      </c>
      <c r="F72" s="11">
        <f>IF(INDEX(precios!$G$3:$G$500,MATCH($B72,precios!$A$3:$A$500,0))&gt;0,INDEX(precios!$G$3:$G$500,MATCH($B72,precios!$A$3:$A$500,0))/$B$4,"")</f>
      </c>
      <c r="G72" s="11">
        <f>IF(INDEX(precios!$H$3:$H$500,MATCH($B72,precios!$A$3:$A$500,0))&gt;0,INDEX(precios!$H$3:$H$500,MATCH($B72,precios!$A$3:$A$500,0))/$B$4,"")</f>
      </c>
      <c r="H72" s="11">
        <f>IF(INDEX(precios!$I$3:$I$500,MATCH($B72,precios!$A$3:$A$500,0))&gt;0,INDEX(precios!$I$3:$I$500,MATCH($B72,precios!$A$3:$A$500,0))/$B$4,"")</f>
      </c>
      <c r="I72" s="11">
        <f>IF(INDEX(precios!$J$3:$J$500,MATCH($B72,precios!$A$3:$A$500,0))&gt;0,INDEX(precios!$J$3:$J$500,MATCH($B72,precios!$A$3:$A$500,0))/$B$4,"")</f>
      </c>
      <c r="J72" s="11">
        <f>IF(INDEX(precios!$K$3:$K$500,MATCH($B72,precios!$A$3:$A$500,0))&gt;0,INDEX(precios!$K$3:$K$500,MATCH($B72,precios!$A$3:$A$500,0))/$B$4,"")</f>
      </c>
      <c r="K72" s="11">
        <f>IF(INDEX(precios!$L$3:$L$500,MATCH($B72,precios!$A$3:$A$500,0))&gt;0,INDEX(precios!$L$3:$L$500,MATCH($B72,precios!$A$3:$A$500,0))/$B$4,"")</f>
      </c>
      <c r="L72" s="11">
        <f>IF(INDEX(precios!$M$3:$M$500,MATCH($B72,precios!$A$3:$A$500,0))&gt;0,INDEX(precios!$M$3:$M$500,MATCH($B72,precios!$A$3:$A$500,0))/$B$4,"")</f>
      </c>
      <c r="M72" s="11">
        <f>IF(INDEX(precios!$N$3:$N$500,MATCH($B72,precios!$A$3:$A$500,0))&gt;0,INDEX(precios!$N$3:$N$500,MATCH($B72,precios!$A$3:$A$500,0))/$B$4,"")</f>
      </c>
      <c r="N72" s="11">
        <f>SUM(D72:M72)</f>
      </c>
    </row>
    <row r="73" spans="1:14" x14ac:dyDescent="0.25">
      <c r="A73" t="s">
        <v>387</v>
      </c>
      <c r="B73" t="s">
        <v>457</v>
      </c>
      <c r="C73">
        <f>INDEX(precios!$C$3:$C$500,MATCH($B73,precios!$A$3:$A$500,0))</f>
      </c>
      <c r="D73" s="11">
        <f>IF(INDEX(precios!$E$3:$E$500,MATCH($B73,precios!$A$3:$A$500,0))&gt;0,INDEX(precios!$E$3:$E$500,MATCH($B73,precios!$A$3:$A$500,0))/$B$4,"")</f>
      </c>
      <c r="E73" s="11">
        <f>IF(INDEX(precios!$F$3:$F$500,MATCH($B73,precios!$A$3:$A$500,0))&gt;0,INDEX(precios!$F$3:$F$500,MATCH($B73,precios!$A$3:$A$500,0))/$B$4,"")</f>
      </c>
      <c r="F73" s="11">
        <f>IF(INDEX(precios!$G$3:$G$500,MATCH($B73,precios!$A$3:$A$500,0))&gt;0,INDEX(precios!$G$3:$G$500,MATCH($B73,precios!$A$3:$A$500,0))/$B$4,"")</f>
      </c>
      <c r="G73" s="11">
        <f>IF(INDEX(precios!$H$3:$H$500,MATCH($B73,precios!$A$3:$A$500,0))&gt;0,INDEX(precios!$H$3:$H$500,MATCH($B73,precios!$A$3:$A$500,0))/$B$4,"")</f>
      </c>
      <c r="H73" s="11">
        <f>IF(INDEX(precios!$I$3:$I$500,MATCH($B73,precios!$A$3:$A$500,0))&gt;0,INDEX(precios!$I$3:$I$500,MATCH($B73,precios!$A$3:$A$500,0))/$B$4,"")</f>
      </c>
      <c r="I73" s="11">
        <f>IF(INDEX(precios!$J$3:$J$500,MATCH($B73,precios!$A$3:$A$500,0))&gt;0,INDEX(precios!$J$3:$J$500,MATCH($B73,precios!$A$3:$A$500,0))/$B$4,"")</f>
      </c>
      <c r="J73" s="11">
        <f>IF(INDEX(precios!$K$3:$K$500,MATCH($B73,precios!$A$3:$A$500,0))&gt;0,INDEX(precios!$K$3:$K$500,MATCH($B73,precios!$A$3:$A$500,0))/$B$4,"")</f>
      </c>
      <c r="K73" s="11">
        <f>IF(INDEX(precios!$L$3:$L$500,MATCH($B73,precios!$A$3:$A$500,0))&gt;0,INDEX(precios!$L$3:$L$500,MATCH($B73,precios!$A$3:$A$500,0))/$B$4,"")</f>
      </c>
      <c r="L73" s="11">
        <f>IF(INDEX(precios!$M$3:$M$500,MATCH($B73,precios!$A$3:$A$500,0))&gt;0,INDEX(precios!$M$3:$M$500,MATCH($B73,precios!$A$3:$A$500,0))/$B$4,"")</f>
      </c>
      <c r="M73" s="11">
        <f>IF(INDEX(precios!$N$3:$N$500,MATCH($B73,precios!$A$3:$A$500,0))&gt;0,INDEX(precios!$N$3:$N$500,MATCH($B73,precios!$A$3:$A$500,0))/$B$4,"")</f>
      </c>
      <c r="N73" s="11">
        <f>SUM(D73:M73)</f>
      </c>
    </row>
    <row r="74" spans="1:14" x14ac:dyDescent="0.25">
      <c r="A74" t="s">
        <v>387</v>
      </c>
      <c r="B74" t="s">
        <v>459</v>
      </c>
      <c r="C74">
        <f>INDEX(precios!$C$3:$C$500,MATCH($B74,precios!$A$3:$A$500,0))</f>
      </c>
      <c r="D74" s="11">
        <f>IF(INDEX(precios!$E$3:$E$500,MATCH($B74,precios!$A$3:$A$500,0))&gt;0,INDEX(precios!$E$3:$E$500,MATCH($B74,precios!$A$3:$A$500,0))/$B$4,"")</f>
      </c>
      <c r="E74" s="11">
        <f>IF(INDEX(precios!$F$3:$F$500,MATCH($B74,precios!$A$3:$A$500,0))&gt;0,INDEX(precios!$F$3:$F$500,MATCH($B74,precios!$A$3:$A$500,0))/$B$4,"")</f>
      </c>
      <c r="F74" s="11">
        <f>IF(INDEX(precios!$G$3:$G$500,MATCH($B74,precios!$A$3:$A$500,0))&gt;0,INDEX(precios!$G$3:$G$500,MATCH($B74,precios!$A$3:$A$500,0))/$B$4,"")</f>
      </c>
      <c r="G74" s="11">
        <f>IF(INDEX(precios!$H$3:$H$500,MATCH($B74,precios!$A$3:$A$500,0))&gt;0,INDEX(precios!$H$3:$H$500,MATCH($B74,precios!$A$3:$A$500,0))/$B$4,"")</f>
      </c>
      <c r="H74" s="11">
        <f>IF(INDEX(precios!$I$3:$I$500,MATCH($B74,precios!$A$3:$A$500,0))&gt;0,INDEX(precios!$I$3:$I$500,MATCH($B74,precios!$A$3:$A$500,0))/$B$4,"")</f>
      </c>
      <c r="I74" s="11">
        <f>IF(INDEX(precios!$J$3:$J$500,MATCH($B74,precios!$A$3:$A$500,0))&gt;0,INDEX(precios!$J$3:$J$500,MATCH($B74,precios!$A$3:$A$500,0))/$B$4,"")</f>
      </c>
      <c r="J74" s="11">
        <f>IF(INDEX(precios!$K$3:$K$500,MATCH($B74,precios!$A$3:$A$500,0))&gt;0,INDEX(precios!$K$3:$K$500,MATCH($B74,precios!$A$3:$A$500,0))/$B$4,"")</f>
      </c>
      <c r="K74" s="11">
        <f>IF(INDEX(precios!$L$3:$L$500,MATCH($B74,precios!$A$3:$A$500,0))&gt;0,INDEX(precios!$L$3:$L$500,MATCH($B74,precios!$A$3:$A$500,0))/$B$4,"")</f>
      </c>
      <c r="L74" s="11">
        <f>IF(INDEX(precios!$M$3:$M$500,MATCH($B74,precios!$A$3:$A$500,0))&gt;0,INDEX(precios!$M$3:$M$500,MATCH($B74,precios!$A$3:$A$500,0))/$B$4,"")</f>
      </c>
      <c r="M74" s="11">
        <f>IF(INDEX(precios!$N$3:$N$500,MATCH($B74,precios!$A$3:$A$500,0))&gt;0,INDEX(precios!$N$3:$N$500,MATCH($B74,precios!$A$3:$A$500,0))/$B$4,"")</f>
      </c>
      <c r="N74" s="11">
        <f>SUM(D74:M74)</f>
      </c>
    </row>
    <row r="75" spans="1:14" x14ac:dyDescent="0.25">
      <c r="A75" t="s">
        <v>387</v>
      </c>
      <c r="B75" t="s">
        <v>461</v>
      </c>
      <c r="C75">
        <f>INDEX(precios!$C$3:$C$500,MATCH($B75,precios!$A$3:$A$500,0))</f>
      </c>
      <c r="D75" s="11">
        <f>IF(INDEX(precios!$E$3:$E$500,MATCH($B75,precios!$A$3:$A$500,0))&gt;0,INDEX(precios!$E$3:$E$500,MATCH($B75,precios!$A$3:$A$500,0))/$B$4,"")</f>
      </c>
      <c r="E75" s="11">
        <f>IF(INDEX(precios!$F$3:$F$500,MATCH($B75,precios!$A$3:$A$500,0))&gt;0,INDEX(precios!$F$3:$F$500,MATCH($B75,precios!$A$3:$A$500,0))/$B$4,"")</f>
      </c>
      <c r="F75" s="11">
        <f>IF(INDEX(precios!$G$3:$G$500,MATCH($B75,precios!$A$3:$A$500,0))&gt;0,INDEX(precios!$G$3:$G$500,MATCH($B75,precios!$A$3:$A$500,0))/$B$4,"")</f>
      </c>
      <c r="G75" s="11">
        <f>IF(INDEX(precios!$H$3:$H$500,MATCH($B75,precios!$A$3:$A$500,0))&gt;0,INDEX(precios!$H$3:$H$500,MATCH($B75,precios!$A$3:$A$500,0))/$B$4,"")</f>
      </c>
      <c r="H75" s="11">
        <f>IF(INDEX(precios!$I$3:$I$500,MATCH($B75,precios!$A$3:$A$500,0))&gt;0,INDEX(precios!$I$3:$I$500,MATCH($B75,precios!$A$3:$A$500,0))/$B$4,"")</f>
      </c>
      <c r="I75" s="11">
        <f>IF(INDEX(precios!$J$3:$J$500,MATCH($B75,precios!$A$3:$A$500,0))&gt;0,INDEX(precios!$J$3:$J$500,MATCH($B75,precios!$A$3:$A$500,0))/$B$4,"")</f>
      </c>
      <c r="J75" s="11">
        <f>IF(INDEX(precios!$K$3:$K$500,MATCH($B75,precios!$A$3:$A$500,0))&gt;0,INDEX(precios!$K$3:$K$500,MATCH($B75,precios!$A$3:$A$500,0))/$B$4,"")</f>
      </c>
      <c r="K75" s="11">
        <f>IF(INDEX(precios!$L$3:$L$500,MATCH($B75,precios!$A$3:$A$500,0))&gt;0,INDEX(precios!$L$3:$L$500,MATCH($B75,precios!$A$3:$A$500,0))/$B$4,"")</f>
      </c>
      <c r="L75" s="11">
        <f>IF(INDEX(precios!$M$3:$M$500,MATCH($B75,precios!$A$3:$A$500,0))&gt;0,INDEX(precios!$M$3:$M$500,MATCH($B75,precios!$A$3:$A$500,0))/$B$4,"")</f>
      </c>
      <c r="M75" s="11">
        <f>IF(INDEX(precios!$N$3:$N$500,MATCH($B75,precios!$A$3:$A$500,0))&gt;0,INDEX(precios!$N$3:$N$500,MATCH($B75,precios!$A$3:$A$500,0))/$B$4,"")</f>
      </c>
      <c r="N75" s="11">
        <f>SUM(D75:M75)</f>
      </c>
    </row>
    <row r="76" spans="1:14" x14ac:dyDescent="0.25">
      <c r="A76" t="s">
        <v>387</v>
      </c>
      <c r="B76" t="s">
        <v>463</v>
      </c>
      <c r="C76">
        <f>INDEX(precios!$C$3:$C$500,MATCH($B76,precios!$A$3:$A$500,0))</f>
      </c>
      <c r="D76" s="11">
        <f>IF(INDEX(precios!$E$3:$E$500,MATCH($B76,precios!$A$3:$A$500,0))&gt;0,INDEX(precios!$E$3:$E$500,MATCH($B76,precios!$A$3:$A$500,0))/$B$4,"")</f>
      </c>
      <c r="E76" s="11">
        <f>IF(INDEX(precios!$F$3:$F$500,MATCH($B76,precios!$A$3:$A$500,0))&gt;0,INDEX(precios!$F$3:$F$500,MATCH($B76,precios!$A$3:$A$500,0))/$B$4,"")</f>
      </c>
      <c r="F76" s="11">
        <f>IF(INDEX(precios!$G$3:$G$500,MATCH($B76,precios!$A$3:$A$500,0))&gt;0,INDEX(precios!$G$3:$G$500,MATCH($B76,precios!$A$3:$A$500,0))/$B$4,"")</f>
      </c>
      <c r="G76" s="11">
        <f>IF(INDEX(precios!$H$3:$H$500,MATCH($B76,precios!$A$3:$A$500,0))&gt;0,INDEX(precios!$H$3:$H$500,MATCH($B76,precios!$A$3:$A$500,0))/$B$4,"")</f>
      </c>
      <c r="H76" s="11">
        <f>IF(INDEX(precios!$I$3:$I$500,MATCH($B76,precios!$A$3:$A$500,0))&gt;0,INDEX(precios!$I$3:$I$500,MATCH($B76,precios!$A$3:$A$500,0))/$B$4,"")</f>
      </c>
      <c r="I76" s="11">
        <f>IF(INDEX(precios!$J$3:$J$500,MATCH($B76,precios!$A$3:$A$500,0))&gt;0,INDEX(precios!$J$3:$J$500,MATCH($B76,precios!$A$3:$A$500,0))/$B$4,"")</f>
      </c>
      <c r="J76" s="11">
        <f>IF(INDEX(precios!$K$3:$K$500,MATCH($B76,precios!$A$3:$A$500,0))&gt;0,INDEX(precios!$K$3:$K$500,MATCH($B76,precios!$A$3:$A$500,0))/$B$4,"")</f>
      </c>
      <c r="K76" s="11">
        <f>IF(INDEX(precios!$L$3:$L$500,MATCH($B76,precios!$A$3:$A$500,0))&gt;0,INDEX(precios!$L$3:$L$500,MATCH($B76,precios!$A$3:$A$500,0))/$B$4,"")</f>
      </c>
      <c r="L76" s="11">
        <f>IF(INDEX(precios!$M$3:$M$500,MATCH($B76,precios!$A$3:$A$500,0))&gt;0,INDEX(precios!$M$3:$M$500,MATCH($B76,precios!$A$3:$A$500,0))/$B$4,"")</f>
      </c>
      <c r="M76" s="11">
        <f>IF(INDEX(precios!$N$3:$N$500,MATCH($B76,precios!$A$3:$A$500,0))&gt;0,INDEX(precios!$N$3:$N$500,MATCH($B76,precios!$A$3:$A$500,0))/$B$4,"")</f>
      </c>
      <c r="N76" s="11">
        <f>SUM(D76:M76)</f>
      </c>
    </row>
    <row r="77" spans="1:14" x14ac:dyDescent="0.25">
      <c r="A77" t="s">
        <v>387</v>
      </c>
      <c r="B77" t="s">
        <v>465</v>
      </c>
      <c r="C77">
        <f>INDEX(precios!$C$3:$C$500,MATCH($B77,precios!$A$3:$A$500,0))</f>
      </c>
      <c r="D77" s="11">
        <f>IF(INDEX(precios!$E$3:$E$500,MATCH($B77,precios!$A$3:$A$500,0))&gt;0,INDEX(precios!$E$3:$E$500,MATCH($B77,precios!$A$3:$A$500,0))/$B$4,"")</f>
      </c>
      <c r="E77" s="11">
        <f>IF(INDEX(precios!$F$3:$F$500,MATCH($B77,precios!$A$3:$A$500,0))&gt;0,INDEX(precios!$F$3:$F$500,MATCH($B77,precios!$A$3:$A$500,0))/$B$4,"")</f>
      </c>
      <c r="F77" s="11">
        <f>IF(INDEX(precios!$G$3:$G$500,MATCH($B77,precios!$A$3:$A$500,0))&gt;0,INDEX(precios!$G$3:$G$500,MATCH($B77,precios!$A$3:$A$500,0))/$B$4,"")</f>
      </c>
      <c r="G77" s="11">
        <f>IF(INDEX(precios!$H$3:$H$500,MATCH($B77,precios!$A$3:$A$500,0))&gt;0,INDEX(precios!$H$3:$H$500,MATCH($B77,precios!$A$3:$A$500,0))/$B$4,"")</f>
      </c>
      <c r="H77" s="11">
        <f>IF(INDEX(precios!$I$3:$I$500,MATCH($B77,precios!$A$3:$A$500,0))&gt;0,INDEX(precios!$I$3:$I$500,MATCH($B77,precios!$A$3:$A$500,0))/$B$4,"")</f>
      </c>
      <c r="I77" s="11">
        <f>IF(INDEX(precios!$J$3:$J$500,MATCH($B77,precios!$A$3:$A$500,0))&gt;0,INDEX(precios!$J$3:$J$500,MATCH($B77,precios!$A$3:$A$500,0))/$B$4,"")</f>
      </c>
      <c r="J77" s="11">
        <f>IF(INDEX(precios!$K$3:$K$500,MATCH($B77,precios!$A$3:$A$500,0))&gt;0,INDEX(precios!$K$3:$K$500,MATCH($B77,precios!$A$3:$A$500,0))/$B$4,"")</f>
      </c>
      <c r="K77" s="11">
        <f>IF(INDEX(precios!$L$3:$L$500,MATCH($B77,precios!$A$3:$A$500,0))&gt;0,INDEX(precios!$L$3:$L$500,MATCH($B77,precios!$A$3:$A$500,0))/$B$4,"")</f>
      </c>
      <c r="L77" s="11">
        <f>IF(INDEX(precios!$M$3:$M$500,MATCH($B77,precios!$A$3:$A$500,0))&gt;0,INDEX(precios!$M$3:$M$500,MATCH($B77,precios!$A$3:$A$500,0))/$B$4,"")</f>
      </c>
      <c r="M77" s="11">
        <f>IF(INDEX(precios!$N$3:$N$500,MATCH($B77,precios!$A$3:$A$500,0))&gt;0,INDEX(precios!$N$3:$N$500,MATCH($B77,precios!$A$3:$A$500,0))/$B$4,"")</f>
      </c>
      <c r="N77" s="11">
        <f>SUM(D77:M77)</f>
      </c>
    </row>
    <row r="78" spans="1:14" x14ac:dyDescent="0.25">
      <c r="A78" t="s">
        <v>387</v>
      </c>
      <c r="B78" t="s">
        <v>467</v>
      </c>
      <c r="C78">
        <f>INDEX(precios!$C$3:$C$500,MATCH($B78,precios!$A$3:$A$500,0))</f>
      </c>
      <c r="D78" s="11">
        <f>IF(INDEX(precios!$E$3:$E$500,MATCH($B78,precios!$A$3:$A$500,0))&gt;0,INDEX(precios!$E$3:$E$500,MATCH($B78,precios!$A$3:$A$500,0))/$B$4,"")</f>
      </c>
      <c r="E78" s="11">
        <f>IF(INDEX(precios!$F$3:$F$500,MATCH($B78,precios!$A$3:$A$500,0))&gt;0,INDEX(precios!$F$3:$F$500,MATCH($B78,precios!$A$3:$A$500,0))/$B$4,"")</f>
      </c>
      <c r="F78" s="11">
        <f>IF(INDEX(precios!$G$3:$G$500,MATCH($B78,precios!$A$3:$A$500,0))&gt;0,INDEX(precios!$G$3:$G$500,MATCH($B78,precios!$A$3:$A$500,0))/$B$4,"")</f>
      </c>
      <c r="G78" s="11">
        <f>IF(INDEX(precios!$H$3:$H$500,MATCH($B78,precios!$A$3:$A$500,0))&gt;0,INDEX(precios!$H$3:$H$500,MATCH($B78,precios!$A$3:$A$500,0))/$B$4,"")</f>
      </c>
      <c r="H78" s="11">
        <f>IF(INDEX(precios!$I$3:$I$500,MATCH($B78,precios!$A$3:$A$500,0))&gt;0,INDEX(precios!$I$3:$I$500,MATCH($B78,precios!$A$3:$A$500,0))/$B$4,"")</f>
      </c>
      <c r="I78" s="11">
        <f>IF(INDEX(precios!$J$3:$J$500,MATCH($B78,precios!$A$3:$A$500,0))&gt;0,INDEX(precios!$J$3:$J$500,MATCH($B78,precios!$A$3:$A$500,0))/$B$4,"")</f>
      </c>
      <c r="J78" s="11">
        <f>IF(INDEX(precios!$K$3:$K$500,MATCH($B78,precios!$A$3:$A$500,0))&gt;0,INDEX(precios!$K$3:$K$500,MATCH($B78,precios!$A$3:$A$500,0))/$B$4,"")</f>
      </c>
      <c r="K78" s="11">
        <f>IF(INDEX(precios!$L$3:$L$500,MATCH($B78,precios!$A$3:$A$500,0))&gt;0,INDEX(precios!$L$3:$L$500,MATCH($B78,precios!$A$3:$A$500,0))/$B$4,"")</f>
      </c>
      <c r="L78" s="11">
        <f>IF(INDEX(precios!$M$3:$M$500,MATCH($B78,precios!$A$3:$A$500,0))&gt;0,INDEX(precios!$M$3:$M$500,MATCH($B78,precios!$A$3:$A$500,0))/$B$4,"")</f>
      </c>
      <c r="M78" s="11">
        <f>IF(INDEX(precios!$N$3:$N$500,MATCH($B78,precios!$A$3:$A$500,0))&gt;0,INDEX(precios!$N$3:$N$500,MATCH($B78,precios!$A$3:$A$500,0))/$B$4,"")</f>
      </c>
      <c r="N78" s="11">
        <f>SUM(D78:M78)</f>
      </c>
    </row>
    <row r="79" spans="1:14" x14ac:dyDescent="0.25">
      <c r="A79" t="s">
        <v>1873</v>
      </c>
      <c r="B79" t="s">
        <v>250</v>
      </c>
      <c r="C79">
        <f>INDEX(autos!$B$3:$B$500,MATCH($B79,autos!$A$3:$A$500,0))</f>
      </c>
      <c r="D79" s="11">
        <f>IF(INDEX(autos!$C$3:$C$500,MATCH($B79,autos!$A$3:$A$500,0))&gt;0,INDEX(autos!$C$3:$C$500,MATCH($B79,autos!$A$3:$A$500,0))/$B$4,"")</f>
      </c>
      <c r="N79" s="11">
        <f>SUM(D79:M79)</f>
      </c>
    </row>
    <row r="80" spans="1:14" x14ac:dyDescent="0.25">
      <c r="A80" t="s">
        <v>1873</v>
      </c>
      <c r="B80" t="s">
        <v>252</v>
      </c>
      <c r="C80">
        <f>INDEX(autos!$B$3:$B$500,MATCH($B80,autos!$A$3:$A$500,0))</f>
      </c>
      <c r="D80" s="11">
        <f>IF(INDEX(autos!$C$3:$C$500,MATCH($B80,autos!$A$3:$A$500,0))&gt;0,INDEX(autos!$C$3:$C$500,MATCH($B80,autos!$A$3:$A$500,0))/$B$4,"")</f>
      </c>
      <c r="N80" s="11">
        <f>SUM(D80:M80)</f>
      </c>
    </row>
    <row r="81" spans="1:14" x14ac:dyDescent="0.25">
      <c r="A81" t="s">
        <v>1873</v>
      </c>
      <c r="B81" t="s">
        <v>254</v>
      </c>
      <c r="C81">
        <f>INDEX(autos!$B$3:$B$500,MATCH($B81,autos!$A$3:$A$500,0))</f>
      </c>
      <c r="D81" s="11">
        <f>IF(INDEX(autos!$C$3:$C$500,MATCH($B81,autos!$A$3:$A$500,0))&gt;0,INDEX(autos!$C$3:$C$500,MATCH($B81,autos!$A$3:$A$500,0))/$B$4,"")</f>
      </c>
      <c r="N81" s="11">
        <f>SUM(D81:M81)</f>
      </c>
    </row>
    <row r="82" spans="1:14" x14ac:dyDescent="0.25">
      <c r="A82" t="s">
        <v>1873</v>
      </c>
      <c r="B82" t="s">
        <v>85</v>
      </c>
      <c r="C82">
        <f>INDEX(autos!$B$3:$B$500,MATCH($B82,autos!$A$3:$A$500,0))</f>
      </c>
      <c r="D82" s="11">
        <f>IF(INDEX(autos!$C$3:$C$500,MATCH($B82,autos!$A$3:$A$500,0))&gt;0,INDEX(autos!$C$3:$C$500,MATCH($B82,autos!$A$3:$A$500,0))/$B$4,"")</f>
      </c>
      <c r="N82" s="11">
        <f>SUM(D82:M82)</f>
      </c>
    </row>
    <row r="83" spans="1:14" x14ac:dyDescent="0.25">
      <c r="A83" t="s">
        <v>1873</v>
      </c>
      <c r="B83" t="s">
        <v>257</v>
      </c>
      <c r="C83">
        <f>INDEX(autos!$B$3:$B$500,MATCH($B83,autos!$A$3:$A$500,0))</f>
      </c>
      <c r="D83" s="11">
        <f>IF(INDEX(autos!$C$3:$C$500,MATCH($B83,autos!$A$3:$A$500,0))&gt;0,INDEX(autos!$C$3:$C$500,MATCH($B83,autos!$A$3:$A$500,0))/$B$4,"")</f>
      </c>
      <c r="N83" s="11">
        <f>SUM(D83:M83)</f>
      </c>
    </row>
    <row r="84" spans="1:14" x14ac:dyDescent="0.25">
      <c r="A84" t="s">
        <v>1873</v>
      </c>
      <c r="B84" t="s">
        <v>259</v>
      </c>
      <c r="C84">
        <f>INDEX(autos!$B$3:$B$500,MATCH($B84,autos!$A$3:$A$500,0))</f>
      </c>
      <c r="D84" s="11">
        <f>IF(INDEX(autos!$C$3:$C$500,MATCH($B84,autos!$A$3:$A$500,0))&gt;0,INDEX(autos!$C$3:$C$500,MATCH($B84,autos!$A$3:$A$500,0))/$B$4,"")</f>
      </c>
      <c r="N84" s="11">
        <f>SUM(D84:M84)</f>
      </c>
    </row>
    <row r="85" spans="1:14" x14ac:dyDescent="0.25">
      <c r="A85" t="s">
        <v>1873</v>
      </c>
      <c r="B85" t="s">
        <v>175</v>
      </c>
      <c r="C85">
        <f>INDEX(autos!$B$3:$B$500,MATCH($B85,autos!$A$3:$A$500,0))</f>
      </c>
      <c r="D85" s="11">
        <f>IF(INDEX(autos!$C$3:$C$500,MATCH($B85,autos!$A$3:$A$500,0))&gt;0,INDEX(autos!$C$3:$C$500,MATCH($B85,autos!$A$3:$A$500,0))/$B$4,"")</f>
      </c>
      <c r="N85" s="11">
        <f>SUM(D85:M85)</f>
      </c>
    </row>
    <row r="86" spans="1:14" x14ac:dyDescent="0.25">
      <c r="A86" t="s">
        <v>1873</v>
      </c>
      <c r="B86" t="s">
        <v>262</v>
      </c>
      <c r="C86">
        <f>INDEX(autos!$B$3:$B$500,MATCH($B86,autos!$A$3:$A$500,0))</f>
      </c>
      <c r="D86" s="11">
        <f>IF(INDEX(autos!$C$3:$C$500,MATCH($B86,autos!$A$3:$A$500,0))&gt;0,INDEX(autos!$C$3:$C$500,MATCH($B86,autos!$A$3:$A$500,0))/$B$4,"")</f>
      </c>
      <c r="N86" s="11">
        <f>SUM(D86:M86)</f>
      </c>
    </row>
    <row r="87" spans="1:14" x14ac:dyDescent="0.25">
      <c r="A87" t="s">
        <v>1873</v>
      </c>
      <c r="B87" t="s">
        <v>264</v>
      </c>
      <c r="C87">
        <f>INDEX(autos!$B$3:$B$500,MATCH($B87,autos!$A$3:$A$500,0))</f>
      </c>
      <c r="D87" s="11">
        <f>IF(INDEX(autos!$C$3:$C$500,MATCH($B87,autos!$A$3:$A$500,0))&gt;0,INDEX(autos!$C$3:$C$500,MATCH($B87,autos!$A$3:$A$500,0))/$B$4,"")</f>
      </c>
      <c r="N87" s="11">
        <f>SUM(D87:M87)</f>
      </c>
    </row>
    <row r="88" spans="1:14" x14ac:dyDescent="0.25">
      <c r="A88" t="s">
        <v>1873</v>
      </c>
      <c r="B88" t="s">
        <v>266</v>
      </c>
      <c r="C88">
        <f>INDEX(autos!$B$3:$B$500,MATCH($B88,autos!$A$3:$A$500,0))</f>
      </c>
      <c r="D88" s="11">
        <f>IF(INDEX(autos!$C$3:$C$500,MATCH($B88,autos!$A$3:$A$500,0))&gt;0,INDEX(autos!$C$3:$C$500,MATCH($B88,autos!$A$3:$A$500,0))/$B$4,"")</f>
      </c>
      <c r="N88" s="11">
        <f>SUM(D88:M88)</f>
      </c>
    </row>
    <row r="89" spans="1:14" x14ac:dyDescent="0.25">
      <c r="A89" t="s">
        <v>1873</v>
      </c>
      <c r="B89" t="s">
        <v>268</v>
      </c>
      <c r="C89">
        <f>INDEX(autos!$B$3:$B$500,MATCH($B89,autos!$A$3:$A$500,0))</f>
      </c>
      <c r="D89" s="11">
        <f>IF(INDEX(autos!$C$3:$C$500,MATCH($B89,autos!$A$3:$A$500,0))&gt;0,INDEX(autos!$C$3:$C$500,MATCH($B89,autos!$A$3:$A$500,0))/$B$4,"")</f>
      </c>
      <c r="N89" s="11">
        <f>SUM(D89:M89)</f>
      </c>
    </row>
    <row r="90" spans="1:14" x14ac:dyDescent="0.25">
      <c r="A90" t="s">
        <v>1874</v>
      </c>
      <c r="B90" t="s">
        <v>296</v>
      </c>
      <c r="C90">
        <f>INDEX(pilotos!$B$3:$B$500,MATCH($B90,pilotos!$A$3:$A$500,0))</f>
      </c>
      <c r="D90" s="11">
        <f>IF(INDEX(pilotos!$C$3:$C$500,MATCH($B90,pilotos!$A$3:$A$500,0))&gt;0,INDEX(pilotos!$C$3:$C$500,MATCH($B90,pilotos!$A$3:$A$500,0))/$B$4,"")</f>
      </c>
      <c r="N90" s="11">
        <f>SUM(D90:M90)</f>
      </c>
    </row>
    <row r="91" spans="1:14" x14ac:dyDescent="0.25">
      <c r="A91" t="s">
        <v>1874</v>
      </c>
      <c r="B91" t="s">
        <v>300</v>
      </c>
      <c r="C91">
        <f>INDEX(pilotos!$B$3:$B$500,MATCH($B91,pilotos!$A$3:$A$500,0))</f>
      </c>
      <c r="D91" s="11">
        <f>IF(INDEX(pilotos!$C$3:$C$500,MATCH($B91,pilotos!$A$3:$A$500,0))&gt;0,INDEX(pilotos!$C$3:$C$500,MATCH($B91,pilotos!$A$3:$A$500,0))/$B$4,"")</f>
      </c>
      <c r="N91" s="11">
        <f>SUM(D91:M91)</f>
      </c>
    </row>
    <row r="92" spans="1:14" x14ac:dyDescent="0.25">
      <c r="A92" t="s">
        <v>1874</v>
      </c>
      <c r="B92" t="s">
        <v>35</v>
      </c>
      <c r="C92">
        <f>INDEX(pilotos!$B$3:$B$500,MATCH($B92,pilotos!$A$3:$A$500,0))</f>
      </c>
      <c r="D92" s="11">
        <f>IF(INDEX(pilotos!$C$3:$C$500,MATCH($B92,pilotos!$A$3:$A$500,0))&gt;0,INDEX(pilotos!$C$3:$C$500,MATCH($B92,pilotos!$A$3:$A$500,0))/$B$4,"")</f>
      </c>
      <c r="N92" s="11">
        <f>SUM(D92:M92)</f>
      </c>
    </row>
    <row r="93" spans="1:14" x14ac:dyDescent="0.25">
      <c r="A93" t="s">
        <v>1874</v>
      </c>
      <c r="B93" t="s">
        <v>307</v>
      </c>
      <c r="C93">
        <f>INDEX(pilotos!$B$3:$B$500,MATCH($B93,pilotos!$A$3:$A$500,0))</f>
      </c>
      <c r="D93" s="11">
        <f>IF(INDEX(pilotos!$C$3:$C$500,MATCH($B93,pilotos!$A$3:$A$500,0))&gt;0,INDEX(pilotos!$C$3:$C$500,MATCH($B93,pilotos!$A$3:$A$500,0))/$B$4,"")</f>
      </c>
      <c r="N93" s="11">
        <f>SUM(D93:M93)</f>
      </c>
    </row>
    <row r="94" spans="1:14" x14ac:dyDescent="0.25">
      <c r="A94" t="s">
        <v>1874</v>
      </c>
      <c r="B94" t="s">
        <v>311</v>
      </c>
      <c r="C94">
        <f>INDEX(pilotos!$B$3:$B$500,MATCH($B94,pilotos!$A$3:$A$500,0))</f>
      </c>
      <c r="D94" s="11">
        <f>IF(INDEX(pilotos!$C$3:$C$500,MATCH($B94,pilotos!$A$3:$A$500,0))&gt;0,INDEX(pilotos!$C$3:$C$500,MATCH($B94,pilotos!$A$3:$A$500,0))/$B$4,"")</f>
      </c>
      <c r="N94" s="11">
        <f>SUM(D94:M94)</f>
      </c>
    </row>
    <row r="95" spans="1:14" x14ac:dyDescent="0.25">
      <c r="A95" t="s">
        <v>1874</v>
      </c>
      <c r="B95" t="s">
        <v>314</v>
      </c>
      <c r="C95">
        <f>INDEX(pilotos!$B$3:$B$500,MATCH($B95,pilotos!$A$3:$A$500,0))</f>
      </c>
      <c r="D95" s="11">
        <f>IF(INDEX(pilotos!$C$3:$C$500,MATCH($B95,pilotos!$A$3:$A$500,0))&gt;0,INDEX(pilotos!$C$3:$C$500,MATCH($B95,pilotos!$A$3:$A$500,0))/$B$4,"")</f>
      </c>
      <c r="N95" s="11">
        <f>SUM(D95:M95)</f>
      </c>
    </row>
    <row r="96" spans="1:14" x14ac:dyDescent="0.25">
      <c r="A96" t="s">
        <v>1874</v>
      </c>
      <c r="B96" t="s">
        <v>317</v>
      </c>
      <c r="C96">
        <f>INDEX(pilotos!$B$3:$B$500,MATCH($B96,pilotos!$A$3:$A$500,0))</f>
      </c>
      <c r="D96" s="11">
        <f>IF(INDEX(pilotos!$C$3:$C$500,MATCH($B96,pilotos!$A$3:$A$500,0))&gt;0,INDEX(pilotos!$C$3:$C$500,MATCH($B96,pilotos!$A$3:$A$500,0))/$B$4,"")</f>
      </c>
      <c r="N96" s="11">
        <f>SUM(D96:M96)</f>
      </c>
    </row>
    <row r="97" spans="1:14" x14ac:dyDescent="0.25">
      <c r="A97" t="s">
        <v>1874</v>
      </c>
      <c r="B97" t="s">
        <v>320</v>
      </c>
      <c r="C97">
        <f>INDEX(pilotos!$B$3:$B$500,MATCH($B97,pilotos!$A$3:$A$500,0))</f>
      </c>
      <c r="D97" s="11">
        <f>IF(INDEX(pilotos!$C$3:$C$500,MATCH($B97,pilotos!$A$3:$A$500,0))&gt;0,INDEX(pilotos!$C$3:$C$500,MATCH($B97,pilotos!$A$3:$A$500,0))/$B$4,"")</f>
      </c>
      <c r="N97" s="11">
        <f>SUM(D97:M97)</f>
      </c>
    </row>
    <row r="98" spans="1:14" x14ac:dyDescent="0.25">
      <c r="A98" t="s">
        <v>1874</v>
      </c>
      <c r="B98" t="s">
        <v>323</v>
      </c>
      <c r="C98">
        <f>INDEX(pilotos!$B$3:$B$500,MATCH($B98,pilotos!$A$3:$A$500,0))</f>
      </c>
      <c r="D98" s="11">
        <f>IF(INDEX(pilotos!$C$3:$C$500,MATCH($B98,pilotos!$A$3:$A$500,0))&gt;0,INDEX(pilotos!$C$3:$C$500,MATCH($B98,pilotos!$A$3:$A$500,0))/$B$4,"")</f>
      </c>
      <c r="N98" s="11">
        <f>SUM(D98:M98)</f>
      </c>
    </row>
    <row r="100" spans="3:14" x14ac:dyDescent="0.25">
      <c r="C100" s="1" t="s">
        <v>1875</v>
      </c>
      <c r="N100" s="11">
        <f>SUM(N11:N98)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Leeme</vt:lpstr>
      <vt:lpstr>enemigos</vt:lpstr>
      <vt:lpstr>armas</vt:lpstr>
      <vt:lpstr>pasivas</vt:lpstr>
      <vt:lpstr>autos</vt:lpstr>
      <vt:lpstr>pilotos</vt:lpstr>
      <vt:lpstr>precios</vt:lpstr>
      <vt:lpstr>plagas</vt:lpstr>
      <vt:lpstr>armas_extra</vt:lpstr>
      <vt:lpstr>ritmo</vt:lpstr>
      <vt:lpstr>ataques</vt:lpstr>
      <vt:lpstr>duelo</vt:lpstr>
      <vt:lpstr>duelo_bloques</vt:lpstr>
      <vt:lpstr>duelo_chasis</vt:lpstr>
      <vt:lpstr>duelo_ruedas</vt:lpstr>
      <vt:lpstr>duelo_armas</vt:lpstr>
      <vt:lpstr>duelo_rival</vt:lpstr>
      <vt:lpstr>Golpes para matar</vt:lpstr>
      <vt:lpstr>Tiempo jefe</vt:lpstr>
      <vt:lpstr>Partidas para comprar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2026-10-12T18:51:18Z</dcterms:created>
  <dcterms:modified xsi:type="dcterms:W3CDTF">2026-10-12T18:51:18Z</dcterms:modified>
</cp:coreProperties>
</file>