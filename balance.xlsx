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eme" state="visible" r:id="rId4"/>
    <sheet sheetId="2" name="enemigos" state="visible" r:id="rId5"/>
    <sheet sheetId="3" name="armas" state="visible" r:id="rId6"/>
    <sheet sheetId="4" name="pasivas" state="visible" r:id="rId7"/>
    <sheet sheetId="5" name="autos" state="visible" r:id="rId8"/>
    <sheet sheetId="6" name="pilotos" state="visible" r:id="rId9"/>
    <sheet sheetId="7" name="precios" state="visible" r:id="rId10"/>
    <sheet sheetId="8" name="plagas" state="visible" r:id="rId11"/>
    <sheet sheetId="9" name="armas_extra" state="visible" r:id="rId12"/>
    <sheet sheetId="10" name="ritmo" state="visible" r:id="rId13"/>
    <sheet sheetId="11" name="ataques" state="visible" r:id="rId14"/>
    <sheet sheetId="12" name="Golpes para matar" state="visible" r:id="rId15"/>
    <sheet sheetId="13" name="Tiempo jefe" state="visible" r:id="rId16"/>
    <sheet sheetId="14" name="Partidas para comprar" state="visible" r:id="rId17"/>
  </sheets>
  <calcPr calcId="171027" fullCalcOnLoad="1"/>
</workbook>
</file>

<file path=xl/sharedStrings.xml><?xml version="1.0" encoding="utf-8"?>
<sst xmlns="http://schemas.openxmlformats.org/spreadsheetml/2006/main" count="1283" uniqueCount="968">
  <si>
    <t>Balance de Junked Metal. Esta planilla se genera desde src/balance.json (npm run balance:xlsx) y vuelve al juego con npm run balance:import.</t>
  </si>
  <si>
    <t>Hojas de datos (se importan): enemigos, armas, armas_extra, pasivas, ritmo, ataques, autos, pilotos, precios, plagas. Fila 1 = columnas, fila 2 = qué significa cada una.</t>
  </si>
  <si>
    <t>Se editan SOLO los números. No cambiar los id, no agregar ni borrar filas ni columnas (el importador lo rechaza). Las columnas nombre y tipo son referencia.</t>
  </si>
  <si>
    <t>Hojas calculadas (no se importan): Golpes para matar, Tiempo jefe, Partidas para comprar. Se actualizan solas. Las celdas amarillas son supuestos editables solo de la hoja calculada.</t>
  </si>
  <si>
    <t>Para volver al juego: Archivo &gt; Descargar &gt; Valores separados por tabulaciones (.tsv) de cada hoja de datos, juntar en un .txt con una línea '### nombre_hoja' antes de cada una y correr npm run balance:import -- archivo.txt.</t>
  </si>
  <si>
    <t>Usar punto decimal (configuración regional de EE. UU.) o coma sin separador de miles. El importador avisa de las diferencias antes de escribir el JSON.</t>
  </si>
  <si>
    <t>id</t>
  </si>
  <si>
    <t>nombre</t>
  </si>
  <si>
    <t>tipo</t>
  </si>
  <si>
    <t>vida</t>
  </si>
  <si>
    <t>velocidad</t>
  </si>
  <si>
    <t>dano</t>
  </si>
  <si>
    <t>peso</t>
  </si>
  <si>
    <t>xp</t>
  </si>
  <si>
    <t>aparece_min</t>
  </si>
  <si>
    <t>peso_base</t>
  </si>
  <si>
    <t>peso_por_min</t>
  </si>
  <si>
    <t>Identificador del bicho (no cambiar)</t>
  </si>
  <si>
    <t>Nombre (referencia: el juego usa el del código)</t>
  </si>
  <si>
    <t>bicho, minijefe o jefe_final (referencia: define cómo calcula la hoja Golpes para matar)</t>
  </si>
  <si>
    <t>Vida base. Bichos normales: × ritmo.dureza_vida y × el escalado por tiempo; jefes: se usa tal cual</t>
  </si>
  <si>
    <t>Velocidad máxima (m/s)</t>
  </si>
  <si>
    <t>Daño base de contacto (golpe real = dano × ritmo.contacto_dano; × dureza en bichos normales)</t>
  </si>
  <si>
    <t>Masa física: cuánto cuesta empujarlo</t>
  </si>
  <si>
    <t>Tuercas de XP que suelta (× dureza_xp en bichos normales)</t>
  </si>
  <si>
    <t>Minuto desde el que entra en la mezcla común (las plagas pueden adelantarlo)</t>
  </si>
  <si>
    <t>Peso de aparición en la mezcla al llegar a su minuto</t>
  </si>
  <si>
    <t>Peso extra por cada minuto de partida</t>
  </si>
  <si>
    <t>hormiga</t>
  </si>
  <si>
    <t>Hormiga</t>
  </si>
  <si>
    <t>bicho</t>
  </si>
  <si>
    <t>escupidora</t>
  </si>
  <si>
    <t>Hormiga escupidora</t>
  </si>
  <si>
    <t>friccion</t>
  </si>
  <si>
    <t>Autito a fricción</t>
  </si>
  <si>
    <t>robot</t>
  </si>
  <si>
    <t>Robot a cuerda</t>
  </si>
  <si>
    <t>polilla</t>
  </si>
  <si>
    <t>Polilla</t>
  </si>
  <si>
    <t>escarabajo</t>
  </si>
  <si>
    <t>Escarabajo</t>
  </si>
  <si>
    <t>rey</t>
  </si>
  <si>
    <t>ESCARABAJO REY</t>
  </si>
  <si>
    <t>minijefe</t>
  </si>
  <si>
    <t>cortadora</t>
  </si>
  <si>
    <t>CORTADORA DE CÉSPED</t>
  </si>
  <si>
    <t>tarantula</t>
  </si>
  <si>
    <t>TARÁNTULA</t>
  </si>
  <si>
    <t>gato</t>
  </si>
  <si>
    <t>EULALIO EL MICHU</t>
  </si>
  <si>
    <t>perro</t>
  </si>
  <si>
    <t>FELIPE EL DOGO</t>
  </si>
  <si>
    <t>jefe_final</t>
  </si>
  <si>
    <t>aspiradora</t>
  </si>
  <si>
    <t>LA ASPIRADORA ROBOT</t>
  </si>
  <si>
    <t>cortacercos</t>
  </si>
  <si>
    <t>EL CORTACERCOS ELÉCTRICO</t>
  </si>
  <si>
    <t>unidad_dano</t>
  </si>
  <si>
    <t>dano_base</t>
  </si>
  <si>
    <t>dano_nivel</t>
  </si>
  <si>
    <t>dano_evo_mult</t>
  </si>
  <si>
    <t>dano_evo_fijo</t>
  </si>
  <si>
    <t>recarga_base</t>
  </si>
  <si>
    <t>recarga_min</t>
  </si>
  <si>
    <t>recarga_nivel</t>
  </si>
  <si>
    <t>recarga_div</t>
  </si>
  <si>
    <t>recarga_evo</t>
  </si>
  <si>
    <t>recarga_evo_div</t>
  </si>
  <si>
    <t>alcance</t>
  </si>
  <si>
    <t>alcance_evo</t>
  </si>
  <si>
    <t>area_base</t>
  </si>
  <si>
    <t>area_nivel</t>
  </si>
  <si>
    <t>area_evo</t>
  </si>
  <si>
    <t>n_base</t>
  </si>
  <si>
    <t>n_cada</t>
  </si>
  <si>
    <t>n_desde</t>
  </si>
  <si>
    <t>n_evo</t>
  </si>
  <si>
    <t>duracion_base</t>
  </si>
  <si>
    <t>duracion_nivel</t>
  </si>
  <si>
    <t>duracion_evo</t>
  </si>
  <si>
    <t>Identificador del arma (no cambiar)</t>
  </si>
  <si>
    <t>Nombre (referencia)</t>
  </si>
  <si>
    <t>Qué significa un golpe de esa arma (referencia, para leer la hoja Golpes para matar)</t>
  </si>
  <si>
    <t>Daño = dano_base + dano_nivel × nivel (antes del daño del equipo)</t>
  </si>
  <si>
    <t>Daño extra por nivel (Lápiz-lanza: +fracción de embestida por nivel)</t>
  </si>
  <si>
    <t>Evolución: multiplicador del daño normal</t>
  </si>
  <si>
    <t>Evolución: daño fijo (0 = no aplica; manda sobre el multiplicador)</t>
  </si>
  <si>
    <t>Segundos entre disparos al nivel 0</t>
  </si>
  <si>
    <t>Piso de la recarga (segundos)</t>
  </si>
  <si>
    <t>Segundos menos de recarga por nivel: max(piso, base − nivel × N)</t>
  </si>
  <si>
    <t>Solo Gomitas y Helado: recarga = base ÷ (1 + div × (nivel − 1))</t>
  </si>
  <si>
    <t>Evolución: recarga fija en segundos (0 = no aplica)</t>
  </si>
  <si>
    <t>Evolución: divisor de la recarga (1 = sin cambio)</t>
  </si>
  <si>
    <t>Distancia (m) a la que busca objetivo</t>
  </si>
  <si>
    <t>Ídem evolucionada (0 = no aplica)</t>
  </si>
  <si>
    <t>Radio, largo o tamaño del efecto (m) al nivel 0</t>
  </si>
  <si>
    <t>Metros extra por nivel</t>
  </si>
  <si>
    <t>Ídem evolucionada (0 = no aplica; Lápiz-lanza: radio de la onda del Ariete)</t>
  </si>
  <si>
    <t>Proyectiles: base</t>
  </si>
  <si>
    <t>Proyectiles: uno más cada tantos niveles</t>
  </si>
  <si>
    <t>Proyectiles: cantidad = base + piso((nivel − desde) ÷ cada)</t>
  </si>
  <si>
    <t>Evolución: cantidad fija (0 = no aplica)</t>
  </si>
  <si>
    <t>Segundos de vida del proyectil, zona o chorro</t>
  </si>
  <si>
    <t>Segundos extra por nivel</t>
  </si>
  <si>
    <t>Velocidad del proyectil (m/s)</t>
  </si>
  <si>
    <t>gomitas</t>
  </si>
  <si>
    <t>Lanza-gomitas</t>
  </si>
  <si>
    <t>por impacto</t>
  </si>
  <si>
    <t>clips</t>
  </si>
  <si>
    <t>Clips orbitales</t>
  </si>
  <si>
    <t>por golpe (cada 0,35 s)</t>
  </si>
  <si>
    <t>chispero</t>
  </si>
  <si>
    <t>Chispero</t>
  </si>
  <si>
    <t>por segundo</t>
  </si>
  <si>
    <t>petardos</t>
  </si>
  <si>
    <t>Petardos</t>
  </si>
  <si>
    <t>por explosión</t>
  </si>
  <si>
    <t>tesla</t>
  </si>
  <si>
    <t>Antena Tesla</t>
  </si>
  <si>
    <t>por salto de la cadena</t>
  </si>
  <si>
    <t>lanza</t>
  </si>
  <si>
    <t>Lápiz-lanza</t>
  </si>
  <si>
    <t>multiplicador de la embestida</t>
  </si>
  <si>
    <t>agua</t>
  </si>
  <si>
    <t>Pistola de agua</t>
  </si>
  <si>
    <t>por pulso (cada 0,1 s)</t>
  </si>
  <si>
    <t>yoyo</t>
  </si>
  <si>
    <t>Yo-yo</t>
  </si>
  <si>
    <t>bengalas</t>
  </si>
  <si>
    <t>Bengalas</t>
  </si>
  <si>
    <t>por segundo en la zona</t>
  </si>
  <si>
    <t>regla</t>
  </si>
  <si>
    <t>Bumerán de regla</t>
  </si>
  <si>
    <t>helado</t>
  </si>
  <si>
    <t>Helado congelante</t>
  </si>
  <si>
    <t>bocina</t>
  </si>
  <si>
    <t>Bocina</t>
  </si>
  <si>
    <t>por onda</t>
  </si>
  <si>
    <t>trompo</t>
  </si>
  <si>
    <t>Trompo</t>
  </si>
  <si>
    <t>por golpe</t>
  </si>
  <si>
    <t>base</t>
  </si>
  <si>
    <t>por_nivel</t>
  </si>
  <si>
    <t>base2</t>
  </si>
  <si>
    <t>por_nivel2</t>
  </si>
  <si>
    <t>Identificador (no cambiar)</t>
  </si>
  <si>
    <t>Valor base (solo Imán: radio de recolección en m)</t>
  </si>
  <si>
    <t>Efecto por nivel: Imán, Resorte y Lupa +fracción; Turbo +fracción de velocidad; Litio +vida máxima; Capacitor y LEGO: multiplicador compuesto (0,92 = −8% por nivel)</t>
  </si>
  <si>
    <t>Base del efecto secundario (Turbo: recarga del turbo por s; Litio: regeneración por s)</t>
  </si>
  <si>
    <t>Efecto secundario por nivel (Turbo: +fracción de recarga; Litio: regeneración por s; LEGO: +fracción de peso)</t>
  </si>
  <si>
    <t>iman</t>
  </si>
  <si>
    <t>Imán de heladera</t>
  </si>
  <si>
    <t>resorte</t>
  </si>
  <si>
    <t>Resorte</t>
  </si>
  <si>
    <t>turbo</t>
  </si>
  <si>
    <t>Motor turbo</t>
  </si>
  <si>
    <t>litio</t>
  </si>
  <si>
    <t>Pila de litio</t>
  </si>
  <si>
    <t>capacitor</t>
  </si>
  <si>
    <t>Capacitor</t>
  </si>
  <si>
    <t>lego</t>
  </si>
  <si>
    <t>Paragolpes LEGO</t>
  </si>
  <si>
    <t>lupa</t>
  </si>
  <si>
    <t>Lupa</t>
  </si>
  <si>
    <t>precio</t>
  </si>
  <si>
    <t>aceleracion</t>
  </si>
  <si>
    <t>giro</t>
  </si>
  <si>
    <t>agarre</t>
  </si>
  <si>
    <t>embestida</t>
  </si>
  <si>
    <t>masa</t>
  </si>
  <si>
    <t>Precio en tornillos (0 = de serie)</t>
  </si>
  <si>
    <t>Vida máxima</t>
  </si>
  <si>
    <t>Aceleración (m/s²)</t>
  </si>
  <si>
    <t>Velocidad de giro</t>
  </si>
  <si>
    <t>Agarre lateral (más alto = menos derrape)</t>
  </si>
  <si>
    <t>Multiplicador del daño de embestida</t>
  </si>
  <si>
    <t>Masa (peso al chocar)</t>
  </si>
  <si>
    <t>buggy</t>
  </si>
  <si>
    <t>El Divorciado</t>
  </si>
  <si>
    <t>monster</t>
  </si>
  <si>
    <t>El Loco Cuarentón</t>
  </si>
  <si>
    <t>formula</t>
  </si>
  <si>
    <t>El Apurado</t>
  </si>
  <si>
    <t>tanque</t>
  </si>
  <si>
    <t>El Suegro</t>
  </si>
  <si>
    <t>carrera</t>
  </si>
  <si>
    <t>El Sin Seguro</t>
  </si>
  <si>
    <t>axel</t>
  </si>
  <si>
    <t>El Sin Licencia</t>
  </si>
  <si>
    <t>El Tío del Helado</t>
  </si>
  <si>
    <t>combi</t>
  </si>
  <si>
    <t>El Tío Raro</t>
  </si>
  <si>
    <t>dano_mult</t>
  </si>
  <si>
    <t>vida_mas</t>
  </si>
  <si>
    <t>iman_mult</t>
  </si>
  <si>
    <t>regen_mas</t>
  </si>
  <si>
    <t>blindaje_mult</t>
  </si>
  <si>
    <t>blindaje_mas</t>
  </si>
  <si>
    <t>velocidad_mult</t>
  </si>
  <si>
    <t>peso_mult</t>
  </si>
  <si>
    <t>recarga_mult</t>
  </si>
  <si>
    <t>xp_mult</t>
  </si>
  <si>
    <t>arma_inicial</t>
  </si>
  <si>
    <t>Precio en tornillos (0 = de serie o por logro)</t>
  </si>
  <si>
    <t>Multiplicador del daño del equipo (1 = sin cambio)</t>
  </si>
  <si>
    <t>Vida máxima extra (suma)</t>
  </si>
  <si>
    <t>Multiplicador del radio del imán</t>
  </si>
  <si>
    <t>Regeneración extra por segundo (suma)</t>
  </si>
  <si>
    <t>Multiplicador del daño recibido (0,88 = recibe 12% menos)</t>
  </si>
  <si>
    <t>Suma al blindaje (−0,1 = recibe 10% más)</t>
  </si>
  <si>
    <t>Multiplicador de velocidad</t>
  </si>
  <si>
    <t>Multiplicador de masa del auto</t>
  </si>
  <si>
    <t>Multiplicador del tiempo de recarga de armas (1,1 = 10% más lentas)</t>
  </si>
  <si>
    <t>Multiplicador de XP</t>
  </si>
  <si>
    <t>Arma con la que arranca (id de la hoja armas)</t>
  </si>
  <si>
    <t>soldadito</t>
  </si>
  <si>
    <t>El Sargento Sin Pensión</t>
  </si>
  <si>
    <t>muneca</t>
  </si>
  <si>
    <t>La Divorciada de Trapo</t>
  </si>
  <si>
    <t>El Robot en Crisis</t>
  </si>
  <si>
    <t>dino</t>
  </si>
  <si>
    <t>El Rex Jubilado</t>
  </si>
  <si>
    <t>figura</t>
  </si>
  <si>
    <t>El Mega Macho</t>
  </si>
  <si>
    <t>efecto</t>
  </si>
  <si>
    <t>nivel1</t>
  </si>
  <si>
    <t>nivel2</t>
  </si>
  <si>
    <t>nivel3</t>
  </si>
  <si>
    <t>nivel4</t>
  </si>
  <si>
    <t>nivel5</t>
  </si>
  <si>
    <t>nivel6</t>
  </si>
  <si>
    <t>nivel7</t>
  </si>
  <si>
    <t>nivel8</t>
  </si>
  <si>
    <t>nivel9</t>
  </si>
  <si>
    <t>nivel10</t>
  </si>
  <si>
    <t>mejora, habilidad, arma, zona o pieza (referencia)</t>
  </si>
  <si>
    <t>Efecto por nivel de la mejora: Chasis +vida, Piñón +fracción de daño, Motor +fracción de velocidad, Imán +fracción, Contador de tuercas +fracción de XP, Placa de lata +fracción de blindaje, Cinta aisladora +vida/s, Nafta de encendedor +fracción de turbo (recarga y duración), Paragolpes de fierro +fracción de daño al embestir, Gatillo engrasado −fracción de recarga de armas (0 = fijo; habilidades: ver ritmo habilidad_cd_nivel y habilidad_efecto_nivel)</t>
  </si>
  <si>
    <t>Precio en tornillos del nivel 1 (vacío = ese nivel no existe)</t>
  </si>
  <si>
    <t>Precio en tornillos del nivel 2 (vacío = ese nivel no existe)</t>
  </si>
  <si>
    <t>Precio en tornillos del nivel 3 (vacío = ese nivel no existe)</t>
  </si>
  <si>
    <t>Precio en tornillos del nivel 4 (vacío = ese nivel no existe)</t>
  </si>
  <si>
    <t>Precio en tornillos del nivel 5 (vacío = ese nivel no existe)</t>
  </si>
  <si>
    <t>Precio en tornillos del nivel 6 (vacío = ese nivel no existe)</t>
  </si>
  <si>
    <t>Precio en tornillos del nivel 7 (vacío = ese nivel no existe)</t>
  </si>
  <si>
    <t>Precio en tornillos del nivel 8 (vacío = ese nivel no existe)</t>
  </si>
  <si>
    <t>Precio en tornillos del nivel 9 (vacío = ese nivel no existe)</t>
  </si>
  <si>
    <t>Precio en tornillos del nivel 10 (vacío = ese nivel no existe)</t>
  </si>
  <si>
    <t>hp</t>
  </si>
  <si>
    <t>mejora</t>
  </si>
  <si>
    <t>Chasis reforzado</t>
  </si>
  <si>
    <t>dmg</t>
  </si>
  <si>
    <t>Piñón afilado</t>
  </si>
  <si>
    <t>spd</t>
  </si>
  <si>
    <t>Motor rebobinado</t>
  </si>
  <si>
    <t>mag</t>
  </si>
  <si>
    <t>Imán de parlante</t>
  </si>
  <si>
    <t>arm</t>
  </si>
  <si>
    <t>Placa de lata</t>
  </si>
  <si>
    <t>reg</t>
  </si>
  <si>
    <t>Cinta aisladora</t>
  </si>
  <si>
    <t>tur</t>
  </si>
  <si>
    <t>Nafta de encendedor</t>
  </si>
  <si>
    <t>ram</t>
  </si>
  <si>
    <t>Paragolpes de fierro</t>
  </si>
  <si>
    <t>cdr</t>
  </si>
  <si>
    <t>Gatillo engrasado</t>
  </si>
  <si>
    <t>Contador de tuercas</t>
  </si>
  <si>
    <t>reroll</t>
  </si>
  <si>
    <t>Dado cargado</t>
  </si>
  <si>
    <t>extra</t>
  </si>
  <si>
    <t>Caja de repuestos</t>
  </si>
  <si>
    <t>revive</t>
  </si>
  <si>
    <t>Batería de reserva</t>
  </si>
  <si>
    <t>cards</t>
  </si>
  <si>
    <t>Cuarta ranura</t>
  </si>
  <si>
    <t>zona_garaje</t>
  </si>
  <si>
    <t>zona</t>
  </si>
  <si>
    <t>Garaje de la casa</t>
  </si>
  <si>
    <t>zona_jardin</t>
  </si>
  <si>
    <t>Jardín delantero</t>
  </si>
  <si>
    <t>pieza_wing_alto</t>
  </si>
  <si>
    <t>pieza</t>
  </si>
  <si>
    <t>Alerón alto</t>
  </si>
  <si>
    <t>pieza_wing_doble</t>
  </si>
  <si>
    <t>Biplano</t>
  </si>
  <si>
    <t>pieza_decal_numero</t>
  </si>
  <si>
    <t>Calco Número</t>
  </si>
  <si>
    <t>pieza_decal_rayo</t>
  </si>
  <si>
    <t>Calco Rayo</t>
  </si>
  <si>
    <t>pieza_decal_damero</t>
  </si>
  <si>
    <t>Calco Damero</t>
  </si>
  <si>
    <t>pieza_lamp_ambar</t>
  </si>
  <si>
    <t>Faro Ámbar</t>
  </si>
  <si>
    <t>pieza_lamp_cian</t>
  </si>
  <si>
    <t>Faro Cian</t>
  </si>
  <si>
    <t>pieza_lamp_violeta</t>
  </si>
  <si>
    <t>Faro Violeta</t>
  </si>
  <si>
    <t>pieza_exhaust_doble</t>
  </si>
  <si>
    <t>Escape Doble caño</t>
  </si>
  <si>
    <t>pieza_exhaust_chimenea</t>
  </si>
  <si>
    <t>Escape Chimeneas</t>
  </si>
  <si>
    <t>hab_bombardeo</t>
  </si>
  <si>
    <t>habilidad</t>
  </si>
  <si>
    <t>Bombardeo de petardos</t>
  </si>
  <si>
    <t>hab_escudo</t>
  </si>
  <si>
    <t>Escudo que cura</t>
  </si>
  <si>
    <t>hab_emp</t>
  </si>
  <si>
    <t>Pulso EMP</t>
  </si>
  <si>
    <t>hab_lenta</t>
  </si>
  <si>
    <t>Cámara lenta</t>
  </si>
  <si>
    <t>arma_clips</t>
  </si>
  <si>
    <t>arma</t>
  </si>
  <si>
    <t>Lanzaclips</t>
  </si>
  <si>
    <t>arma_chispero</t>
  </si>
  <si>
    <t>arma_agua</t>
  </si>
  <si>
    <t>arma_yoyo</t>
  </si>
  <si>
    <t>Yoyó</t>
  </si>
  <si>
    <t>arma_bengalas</t>
  </si>
  <si>
    <t>arma_regla</t>
  </si>
  <si>
    <t>Regla</t>
  </si>
  <si>
    <t>arma_petardos</t>
  </si>
  <si>
    <t>arma_helado</t>
  </si>
  <si>
    <t>Helado</t>
  </si>
  <si>
    <t>arma_bocina</t>
  </si>
  <si>
    <t>arma_trompo</t>
  </si>
  <si>
    <t>arma_tesla</t>
  </si>
  <si>
    <t>pieza_bumper_cano</t>
  </si>
  <si>
    <t>Paragolpes de caño</t>
  </si>
  <si>
    <t>pieza_bumper_antivuelco</t>
  </si>
  <si>
    <t>Barra antivuelco</t>
  </si>
  <si>
    <t>pieza_bumper_laterales</t>
  </si>
  <si>
    <t>Defensas laterales</t>
  </si>
  <si>
    <t>pieza_tires_oruga</t>
  </si>
  <si>
    <t>Orugas</t>
  </si>
  <si>
    <t>pieza_tires_todoterreno</t>
  </si>
  <si>
    <t>Todoterreno</t>
  </si>
  <si>
    <t>pieza_tires_lisas</t>
  </si>
  <si>
    <t>Lisas de carrera</t>
  </si>
  <si>
    <t>pieza_tires_rayos</t>
  </si>
  <si>
    <t>Rayos de colores</t>
  </si>
  <si>
    <t>pieza_acc_pelotita</t>
  </si>
  <si>
    <t>Antena con pelotita</t>
  </si>
  <si>
    <t>pieza_acc_bocina</t>
  </si>
  <si>
    <t>Bocina de payaso</t>
  </si>
  <si>
    <t>pieza_acc_matafuego</t>
  </si>
  <si>
    <t>Matafuego</t>
  </si>
  <si>
    <t>pieza_acc_dados</t>
  </si>
  <si>
    <t>Dados de peluche</t>
  </si>
  <si>
    <t>pieza_acc_banderita</t>
  </si>
  <si>
    <t>Banderita</t>
  </si>
  <si>
    <t>mult_hormiga</t>
  </si>
  <si>
    <t>mult_friccion</t>
  </si>
  <si>
    <t>mult_escupidora</t>
  </si>
  <si>
    <t>mult_robot</t>
  </si>
  <si>
    <t>mult_polilla</t>
  </si>
  <si>
    <t>mult_escarabajo</t>
  </si>
  <si>
    <t>desde_hormiga</t>
  </si>
  <si>
    <t>desde_friccion</t>
  </si>
  <si>
    <t>desde_escupidora</t>
  </si>
  <si>
    <t>desde_robot</t>
  </si>
  <si>
    <t>desde_polilla</t>
  </si>
  <si>
    <t>desde_escarabajo</t>
  </si>
  <si>
    <t>Multiplicador del peso de aparición: hormiga</t>
  </si>
  <si>
    <t>Multiplicador del peso de aparición: friccion</t>
  </si>
  <si>
    <t>Multiplicador del peso de aparición: escupidora</t>
  </si>
  <si>
    <t>Multiplicador del peso de aparición: robot</t>
  </si>
  <si>
    <t>Multiplicador del peso de aparición: polilla</t>
  </si>
  <si>
    <t>Multiplicador del peso de aparición: escarabajo</t>
  </si>
  <si>
    <t>Minuto desde el que aparece hormiga (−1 = su minuto normal)</t>
  </si>
  <si>
    <t>Minuto desde el que aparece friccion (−1 = su minuto normal)</t>
  </si>
  <si>
    <t>Minuto desde el que aparece escupidora (−1 = su minuto normal)</t>
  </si>
  <si>
    <t>Minuto desde el que aparece robot (−1 = su minuto normal)</t>
  </si>
  <si>
    <t>Minuto desde el que aparece polilla (−1 = su minuto normal)</t>
  </si>
  <si>
    <t>Minuto desde el que aparece escarabajo (−1 = su minuto normal)</t>
  </si>
  <si>
    <t>plaga_hormigas</t>
  </si>
  <si>
    <t>PLAGA DE HORMIGAS</t>
  </si>
  <si>
    <t>plaga_juguetes</t>
  </si>
  <si>
    <t>INVASIÓN DE JUGUETES</t>
  </si>
  <si>
    <t>plaga_acido</t>
  </si>
  <si>
    <t>LLUVIA DE ÁCIDO</t>
  </si>
  <si>
    <t>plaga_escarabajos</t>
  </si>
  <si>
    <t>ESCARABAJOS TEMPRANOS</t>
  </si>
  <si>
    <t>plaga_mixto</t>
  </si>
  <si>
    <t>PATIO MIXTO</t>
  </si>
  <si>
    <t>valor</t>
  </si>
  <si>
    <t>descripcion</t>
  </si>
  <si>
    <t>Número: editar solo esta columna</t>
  </si>
  <si>
    <t>Qué controla</t>
  </si>
  <si>
    <t>gomitas_rebotes_evo</t>
  </si>
  <si>
    <t>Rebotes entre enemigos de la gomita evolucionada</t>
  </si>
  <si>
    <t>gomitas_rebote_alcance</t>
  </si>
  <si>
    <t>Alcance (m) con el que busca el siguiente enemigo al rebotar</t>
  </si>
  <si>
    <t>gomitas_rebote_vida_s</t>
  </si>
  <si>
    <t>Segundos de vida que le quedan a la gomita tras un rebote</t>
  </si>
  <si>
    <t>gomitas_abanico</t>
  </si>
  <si>
    <t>Separación (rad) entre gomitas cuando salen varias</t>
  </si>
  <si>
    <t>gomitas_empuje</t>
  </si>
  <si>
    <t>Empuje de cada gomita</t>
  </si>
  <si>
    <t>clips_golpe_recarga_s</t>
  </si>
  <si>
    <t>Segundos entre golpes de un clip al mismo enemigo</t>
  </si>
  <si>
    <t>clips_empuje</t>
  </si>
  <si>
    <t>Empuje de cada clip</t>
  </si>
  <si>
    <t>chispero_intervalo_s</t>
  </si>
  <si>
    <t>Segundos entre manchas de fuego (más corto = más fuegos superpuestos)</t>
  </si>
  <si>
    <t>chispero_vel_min</t>
  </si>
  <si>
    <t>Velocidad mínima (m/s) para que el auto deje fuego</t>
  </si>
  <si>
    <t>petardos_racimo_n</t>
  </si>
  <si>
    <t>Explosiones extra de la Bomba de Racimo (evolución)</t>
  </si>
  <si>
    <t>petardos_racimo_radio</t>
  </si>
  <si>
    <t>Radio de cada explosión extra, como fracción de la principal</t>
  </si>
  <si>
    <t>petardos_racimo_dano</t>
  </si>
  <si>
    <t>Daño de cada explosión extra, como fracción de la principal</t>
  </si>
  <si>
    <t>tesla_salto_alcance</t>
  </si>
  <si>
    <t>Alcance (m) del salto entre enemigos de la cadena</t>
  </si>
  <si>
    <t>lanza_ariete_dano</t>
  </si>
  <si>
    <t>Ariete (evolución): daño de la onda expansiva como fracción del golpe de embestida</t>
  </si>
  <si>
    <t>agua_cono</t>
  </si>
  <si>
    <t>Semiángulo (rad) del cono del chorro</t>
  </si>
  <si>
    <t>agua_cono_evo</t>
  </si>
  <si>
    <t>Semiángulo (rad) del cono de la Hidrolavadora</t>
  </si>
  <si>
    <t>agua_pulso_s</t>
  </si>
  <si>
    <t>Segundos entre pulsos de daño del chorro</t>
  </si>
  <si>
    <t>agua_empuje</t>
  </si>
  <si>
    <t>Empuje del chorro</t>
  </si>
  <si>
    <t>agua_empuje_evo</t>
  </si>
  <si>
    <t>Empuje de la Hidrolavadora</t>
  </si>
  <si>
    <t>agua_ralentiza_s</t>
  </si>
  <si>
    <t>Segundos que deja empapado (lento) a un enemigo</t>
  </si>
  <si>
    <t>agua_ralentiza_evo_s</t>
  </si>
  <si>
    <t>Ídem con la Hidrolavadora</t>
  </si>
  <si>
    <t>yoyo_vuelta_mult</t>
  </si>
  <si>
    <t>Multiplicador de daño del yo-yo en la vuelta</t>
  </si>
  <si>
    <t>yoyo_vuelta_vel</t>
  </si>
  <si>
    <t>Velocidad de vuelta del yo-yo respecto de la ida</t>
  </si>
  <si>
    <t>yoyo_orbita_min</t>
  </si>
  <si>
    <t>Doble yo-yo: radio mínimo de la órbita (m)</t>
  </si>
  <si>
    <t>yoyo_orbita_amp</t>
  </si>
  <si>
    <t>Doble yo-yo: cuánto se estira el hilo sobre el mínimo (m)</t>
  </si>
  <si>
    <t>yoyo_orbita_periodo_s</t>
  </si>
  <si>
    <t>Doble yo-yo: segundos de un ciclo completo de ida y vuelta</t>
  </si>
  <si>
    <t>yoyo_orbita_golpe_s</t>
  </si>
  <si>
    <t>Doble yo-yo: segundos entre golpes al mismo enemigo</t>
  </si>
  <si>
    <t>yoyo_abanico</t>
  </si>
  <si>
    <t>Separación (rad) entre yo-yos cuando salen varios</t>
  </si>
  <si>
    <t>yoyo_empuje</t>
  </si>
  <si>
    <t>Empuje del yo-yo</t>
  </si>
  <si>
    <t>bengalas_vuelo_s</t>
  </si>
  <si>
    <t>Segundos que tarda una bengala en llegar a su destino</t>
  </si>
  <si>
    <t>regla_abanico</t>
  </si>
  <si>
    <t>Separación (rad) entre reglas cuando salen varias</t>
  </si>
  <si>
    <t>regla_abanico_evo</t>
  </si>
  <si>
    <t>Separación (rad) entre reglas del Bumerán triple</t>
  </si>
  <si>
    <t>regla_tamano_evo</t>
  </si>
  <si>
    <t>Tamaño (y radio de golpe) del Bumerán triple</t>
  </si>
  <si>
    <t>regla_empuje</t>
  </si>
  <si>
    <t>Empuje de cada regla</t>
  </si>
  <si>
    <t>helado_abanico</t>
  </si>
  <si>
    <t>Separación (rad) entre bochas cuando salen varias</t>
  </si>
  <si>
    <t>helado_abanico_evo</t>
  </si>
  <si>
    <t>Separación (rad) entre bochas del Cono triple</t>
  </si>
  <si>
    <t>helado_ralentiza_base</t>
  </si>
  <si>
    <t>Segundos base que ralentiza una bocha</t>
  </si>
  <si>
    <t>helado_ralentiza_nivel</t>
  </si>
  <si>
    <t>Segundos extra de ralentización por nivel</t>
  </si>
  <si>
    <t>helado_congela_evo_s</t>
  </si>
  <si>
    <t>Cono triple: segundos que aturde (congela) al golpeado</t>
  </si>
  <si>
    <t>helado_enfria_radio_evo</t>
  </si>
  <si>
    <t>Cono triple: radio (m) en el que enfría a los de alrededor</t>
  </si>
  <si>
    <t>helado_enfria_evo_s</t>
  </si>
  <si>
    <t>Cono triple: segundos de ralentización en el área</t>
  </si>
  <si>
    <t>helado_empuje</t>
  </si>
  <si>
    <t>Empuje de cada bocha</t>
  </si>
  <si>
    <t>bocina_empuje</t>
  </si>
  <si>
    <t>Empuje de la onda</t>
  </si>
  <si>
    <t>bocina_aturde_s</t>
  </si>
  <si>
    <t>Segundos que aturde la onda (desde el nivel indicado)</t>
  </si>
  <si>
    <t>bocina_aturde_desde_nivel</t>
  </si>
  <si>
    <t>Nivel desde el que la onda aturde</t>
  </si>
  <si>
    <t>bocina_aturde_evo_s</t>
  </si>
  <si>
    <t>Segundos que aturde la Sirena</t>
  </si>
  <si>
    <t>trompo_retarget</t>
  </si>
  <si>
    <t>Alcance (m) con el que busca el siguiente enemigo</t>
  </si>
  <si>
    <t>trompo_evo_contacto_mult</t>
  </si>
  <si>
    <t>Ciclón: daño de contacto de los trompos orbitales, como fracción del golpe</t>
  </si>
  <si>
    <t>trompo_estela_mult</t>
  </si>
  <si>
    <t>Daño de la estela cortante, como fracción del golpe</t>
  </si>
  <si>
    <t>trompo_empuje</t>
  </si>
  <si>
    <t>Empuje del trompo</t>
  </si>
  <si>
    <t>globos_radio</t>
  </si>
  <si>
    <t>Globos de agua: radio (m, × área) en el que revienta la gomita</t>
  </si>
  <si>
    <t>globos_ralentiza_s</t>
  </si>
  <si>
    <t>Globos de agua: segundos que empapa</t>
  </si>
  <si>
    <t>globos_dano</t>
  </si>
  <si>
    <t>Globos de agua: daño de la salpicadura</t>
  </si>
  <si>
    <t>yoyoelec_cada_s</t>
  </si>
  <si>
    <t>Yo-yo eléctrico: segundos mínimos entre rayos</t>
  </si>
  <si>
    <t>yoyoelec_cadena</t>
  </si>
  <si>
    <t>Yo-yo eléctrico: enemigos que alcanza cada rayo</t>
  </si>
  <si>
    <t>yoyoelec_dano</t>
  </si>
  <si>
    <t>Yo-yo eléctrico: daño del rayo</t>
  </si>
  <si>
    <t>chispazo_cada_s</t>
  </si>
  <si>
    <t>Petardos eléctricos: segundos mínimos entre rayos</t>
  </si>
  <si>
    <t>chispazo_cadena</t>
  </si>
  <si>
    <t>Petardos eléctricos: enemigos que alcanza cada rayo</t>
  </si>
  <si>
    <t>chispazo_dano_mult</t>
  </si>
  <si>
    <t>Petardos eléctricos: daño del rayo, como fracción de la explosión</t>
  </si>
  <si>
    <t>anillo_cada_s</t>
  </si>
  <si>
    <t>Anillo de fuego: segundos entre fuegos sobre cada clip</t>
  </si>
  <si>
    <t>anillo_radio</t>
  </si>
  <si>
    <t>Anillo de fuego: radio (m, × área) de cada fuego</t>
  </si>
  <si>
    <t>anillo_fuego_s</t>
  </si>
  <si>
    <t>Anillo de fuego: segundos que dura cada fuego</t>
  </si>
  <si>
    <t>vapor_dano_mult</t>
  </si>
  <si>
    <t>Vapor: multiplicador de daño de las zonas en llamas</t>
  </si>
  <si>
    <t>vapor_radio_mult</t>
  </si>
  <si>
    <t>Vapor: multiplicador de radio de las zonas en llamas</t>
  </si>
  <si>
    <t>vapor_ralentiza_s</t>
  </si>
  <si>
    <t>Vapor: segundos de ralentización en la zona</t>
  </si>
  <si>
    <t>dureza_cantidad</t>
  </si>
  <si>
    <t>Multiplicador de la cantidad de bichos normales (aparición, tope de vivos y enjambres)</t>
  </si>
  <si>
    <t>dureza_vida</t>
  </si>
  <si>
    <t>Multiplicador de vida de los bichos normales (no afecta a los jefes)</t>
  </si>
  <si>
    <t>dureza_dano</t>
  </si>
  <si>
    <t>Multiplicador del daño por contacto de los bichos normales</t>
  </si>
  <si>
    <t>dureza_xp</t>
  </si>
  <si>
    <t>Multiplicador de las tuercas de XP que sueltan los bichos normales</t>
  </si>
  <si>
    <t>vida_escala_seg</t>
  </si>
  <si>
    <t>Los bichos normales ganan +100% de vida cada tantos segundos: vida × (1 + t / valor)</t>
  </si>
  <si>
    <t>tope_vivos_base</t>
  </si>
  <si>
    <t>Bichos normales vivos permitidos al empezar (antes de la dureza)</t>
  </si>
  <si>
    <t>tope_vivos_seg</t>
  </si>
  <si>
    <t>Un bicho más de tope cada tantos segundos: tope = base + t / valor</t>
  </si>
  <si>
    <t>tope_vivos_pc</t>
  </si>
  <si>
    <t>Tope duro de bichos vivos en computadora</t>
  </si>
  <si>
    <t>tope_vivos_tactil</t>
  </si>
  <si>
    <t>Tope duro de bichos vivos en táctil</t>
  </si>
  <si>
    <t>spawn_base</t>
  </si>
  <si>
    <t>Aparición de bichos por segundo al empezar (antes de la dureza)</t>
  </si>
  <si>
    <t>spawn_seg</t>
  </si>
  <si>
    <t>La aparición crece con el tiempo: base + t / valor</t>
  </si>
  <si>
    <t>spawn_anillo_min</t>
  </si>
  <si>
    <t>Distancia mínima (m) al auto a la que aparecen los bichos</t>
  </si>
  <si>
    <t>spawn_anillo_max</t>
  </si>
  <si>
    <t>Distancia máxima (m) al auto a la que aparecen los bichos</t>
  </si>
  <si>
    <t>spawn_adelanto_s</t>
  </si>
  <si>
    <t>Segundos de adelanto: aparecen sesgados hacia donde va el auto</t>
  </si>
  <si>
    <t>reciclar_distancia</t>
  </si>
  <si>
    <t>Distancia (m) a la que un bicho normal lejano se recicla</t>
  </si>
  <si>
    <t>formacion_desde_s</t>
  </si>
  <si>
    <t>Segundo de la partida desde el que hay formaciones (columna o escolta)</t>
  </si>
  <si>
    <t>formacion_cada_min</t>
  </si>
  <si>
    <t>Segundos mínimos entre formaciones</t>
  </si>
  <si>
    <t>formacion_cada_rango</t>
  </si>
  <si>
    <t>Segundos extra al azar entre formaciones</t>
  </si>
  <si>
    <t>formacion_margen</t>
  </si>
  <si>
    <t>Solo hay formación si quedan al menos tantos lugares libres bajo el tope</t>
  </si>
  <si>
    <t>formacion_hormiga_prob</t>
  </si>
  <si>
    <t>Probabilidad de columna de hormigas (en vez de escarabajo con escolta)</t>
  </si>
  <si>
    <t>formacion_hormiga_hasta_s</t>
  </si>
  <si>
    <t>Hasta este segundo la formación es siempre columna de hormigas</t>
  </si>
  <si>
    <t>formacion_hormigas_base</t>
  </si>
  <si>
    <t>Hormigas de la columna al empezar</t>
  </si>
  <si>
    <t>formacion_hormigas_seg</t>
  </si>
  <si>
    <t>Una hormiga más en la columna cada tantos segundos</t>
  </si>
  <si>
    <t>formacion_escolta</t>
  </si>
  <si>
    <t>Autitos a fricción que escoltan al escarabajo</t>
  </si>
  <si>
    <t>formacion_vel</t>
  </si>
  <si>
    <t>Multiplicador de velocidad de los seguidores de una formación</t>
  </si>
  <si>
    <t>enjambre_primero_base</t>
  </si>
  <si>
    <t>Segundos fijos antes del primer enjambre</t>
  </si>
  <si>
    <t>enjambre_primero_mult</t>
  </si>
  <si>
    <t>El primer enjambre llega a base + este factor × el intervalo de la semilla</t>
  </si>
  <si>
    <t>enjambre_cada_min</t>
  </si>
  <si>
    <t>Segundos mínimos entre enjambres (la semilla suma al azar hasta el rango)</t>
  </si>
  <si>
    <t>enjambre_cada_rango</t>
  </si>
  <si>
    <t>Segundos extra al azar entre enjambres</t>
  </si>
  <si>
    <t>enjambre_base</t>
  </si>
  <si>
    <t>Hormigas del enjambre al empezar (antes de la dureza)</t>
  </si>
  <si>
    <t>enjambre_seg</t>
  </si>
  <si>
    <t>El enjambre suma una hormiga cada tantos segundos</t>
  </si>
  <si>
    <t>enjambre_radio</t>
  </si>
  <si>
    <t>Radio (m) del anillo en el que aparece el enjambre</t>
  </si>
  <si>
    <t>pelota_cada_min</t>
  </si>
  <si>
    <t>Segundos mínimos entre pelotas gigantes</t>
  </si>
  <si>
    <t>pelota_cada_rango</t>
  </si>
  <si>
    <t>Segundos extra al azar entre pelotas</t>
  </si>
  <si>
    <t>pelota_vel</t>
  </si>
  <si>
    <t>Velocidad (m/s) de la pelota</t>
  </si>
  <si>
    <t>pelota_masa</t>
  </si>
  <si>
    <t>Masa de la pelota</t>
  </si>
  <si>
    <t>pelota_diametro</t>
  </si>
  <si>
    <t>Diámetro (m) de la pelota; aplasta bichos normales a su paso</t>
  </si>
  <si>
    <t>pelota_vida_s</t>
  </si>
  <si>
    <t>Segundos que dura la pelota</t>
  </si>
  <si>
    <t>pelota_dano</t>
  </si>
  <si>
    <t>Daño que hace la pelota al auto</t>
  </si>
  <si>
    <t>cofre_cada_min</t>
  </si>
  <si>
    <t>Segundos mínimos entre cofres en el patio</t>
  </si>
  <si>
    <t>cofre_cada_rango</t>
  </si>
  <si>
    <t>Segundos extra al azar entre cofres</t>
  </si>
  <si>
    <t>jefe1_s</t>
  </si>
  <si>
    <t>Segundo en que llega el primer minijefe</t>
  </si>
  <si>
    <t>jefe2_s</t>
  </si>
  <si>
    <t>Segundo en que llega el segundo minijefe</t>
  </si>
  <si>
    <t>jefe_final_s</t>
  </si>
  <si>
    <t>Segundo en que llega el jefe final</t>
  </si>
  <si>
    <t>sinfin_cada_s</t>
  </si>
  <si>
    <t>Modo sin fin: segundos entre jefes repetidos</t>
  </si>
  <si>
    <t>sinfin_vida_div</t>
  </si>
  <si>
    <t>Modo sin fin: cada jefe repetido tiene vida × (t / valor)</t>
  </si>
  <si>
    <t>elite_desde_s</t>
  </si>
  <si>
    <t>Segundo desde el que pueden aparecer élites</t>
  </si>
  <si>
    <t>elite_tramo_s</t>
  </si>
  <si>
    <t>Segundos del tramo en el que se reparten las élites</t>
  </si>
  <si>
    <t>elite_cantidad_min</t>
  </si>
  <si>
    <t>Élites mínimas por partida</t>
  </si>
  <si>
    <t>elite_cantidad_rango</t>
  </si>
  <si>
    <t>Élites extra posibles por partida (2 = hay 2 o 3)</t>
  </si>
  <si>
    <t>elite_rapida_vel</t>
  </si>
  <si>
    <t>Élite rápida: multiplicador de velocidad</t>
  </si>
  <si>
    <t>elite_rapida_vida</t>
  </si>
  <si>
    <t>Élite rápida: multiplicador de vida</t>
  </si>
  <si>
    <t>elite_blindada_vida</t>
  </si>
  <si>
    <t>Élite blindada: multiplicador de vida</t>
  </si>
  <si>
    <t>elite_blindada_masa</t>
  </si>
  <si>
    <t>Élite blindada: multiplicador de masa (casi no se la empuja)</t>
  </si>
  <si>
    <t>gemas_tope</t>
  </si>
  <si>
    <t>Tuercas de XP en el piso; sobre el tope se absorben directo</t>
  </si>
  <si>
    <t>pickups_tope</t>
  </si>
  <si>
    <t>Pilas o imanes en el piso por tipo; sobre el tope desaparece el más viejo</t>
  </si>
  <si>
    <t>maceta_xp</t>
  </si>
  <si>
    <t>Tuercas de XP que suelta una maceta rota</t>
  </si>
  <si>
    <t>maceta_pila_prob</t>
  </si>
  <si>
    <t>Probabilidad de que una maceta suelte una pila</t>
  </si>
  <si>
    <t>drop_pila_prob</t>
  </si>
  <si>
    <t>Probabilidad de que un bicho normal suelte una pila</t>
  </si>
  <si>
    <t>drop_iman_prob</t>
  </si>
  <si>
    <t>Probabilidad de que un bicho normal suelte un imán</t>
  </si>
  <si>
    <t>pila_cura</t>
  </si>
  <si>
    <t>Vida que cura una pila</t>
  </si>
  <si>
    <t>carta_reparacion</t>
  </si>
  <si>
    <t>Vida que cura la carta Reparación</t>
  </si>
  <si>
    <t>nivel_max</t>
  </si>
  <si>
    <t>Nivel máximo de cada arma y de cada pasiva (evolución y fusión desde este nivel)</t>
  </si>
  <si>
    <t>xp_nivel_base</t>
  </si>
  <si>
    <t>XP para subir de nivel: piso(base + nivel × lineal + nivel² × cuad)</t>
  </si>
  <si>
    <t>xp_nivel_lineal</t>
  </si>
  <si>
    <t>Término lineal de la XP por nivel</t>
  </si>
  <si>
    <t>xp_nivel_cuad</t>
  </si>
  <si>
    <t>Término cuadrático de la XP por nivel</t>
  </si>
  <si>
    <t>tornillos_jefe</t>
  </si>
  <si>
    <t>Tornillos que suma cada jefe derrotado</t>
  </si>
  <si>
    <t>tornillos_div_tiempo</t>
  </si>
  <si>
    <t>Tornillos de la partida: 1 por cada tantos segundos sobrevividos</t>
  </si>
  <si>
    <t>tornillos_div_bajas</t>
  </si>
  <si>
    <t>Tornillos de la partida: 1 por cada tantas bajas (ya con la dureza de XP)</t>
  </si>
  <si>
    <t>maldicion_tornillos</t>
  </si>
  <si>
    <t>Maldiciones (ocultas hoy): tornillos extra por cada maldición activa</t>
  </si>
  <si>
    <t>maldicion_horda</t>
  </si>
  <si>
    <t>Maldición Horda: multiplicador de enemigos</t>
  </si>
  <si>
    <t>logro_gato_tornillos</t>
  </si>
  <si>
    <t>Premio en tornillos del logro Siete vidas</t>
  </si>
  <si>
    <t>logro_diario_tornillos</t>
  </si>
  <si>
    <t>Premio en tornillos del logro Rutina diaria</t>
  </si>
  <si>
    <t>lluvia_prob</t>
  </si>
  <si>
    <t>Fracción de semillas con lluvia</t>
  </si>
  <si>
    <t>lluvia_desde_min</t>
  </si>
  <si>
    <t>La lluvia empieza como pronto a esta fracción de la partida (0 = inicio, 1 = 10:00)</t>
  </si>
  <si>
    <t>lluvia_desde_max</t>
  </si>
  <si>
    <t>La lluvia empieza como tarde a esta fracción de la partida</t>
  </si>
  <si>
    <t>lluvia_agarre</t>
  </si>
  <si>
    <t>Multiplicador del agarre lateral con lluvia plena (menos = el auto patina más)</t>
  </si>
  <si>
    <t>lluvia_subida</t>
  </si>
  <si>
    <t>Qué tan rápido sube la intensidad de la lluvia al empezar (1/s)</t>
  </si>
  <si>
    <t>lluvia_empapa_s</t>
  </si>
  <si>
    <t>Segundos de lluvia hasta el suelo empapado y los charcos al máximo</t>
  </si>
  <si>
    <t>habilidad_bombardeo_cd</t>
  </si>
  <si>
    <t>Bombardeo de petardos: enfriamiento (s)</t>
  </si>
  <si>
    <t>habilidad_bombardeo_dur</t>
  </si>
  <si>
    <t>Bombardeo de petardos: segundos activa</t>
  </si>
  <si>
    <t>bombardeo_petardos</t>
  </si>
  <si>
    <t>Bombardeo de petardos: petardos que caen</t>
  </si>
  <si>
    <t>bombardeo_intervalo_s</t>
  </si>
  <si>
    <t>Bombardeo de petardos: segundos entre petardos</t>
  </si>
  <si>
    <t>bombardeo_radio</t>
  </si>
  <si>
    <t>Bombardeo de petardos: radio (m) de cada explosión</t>
  </si>
  <si>
    <t>bombardeo_dano</t>
  </si>
  <si>
    <t>Bombardeo de petardos: daño de cada explosión (× daño del equipo)</t>
  </si>
  <si>
    <t>habilidad_escudo_cd</t>
  </si>
  <si>
    <t>Escudo que cura: enfriamiento (s)</t>
  </si>
  <si>
    <t>habilidad_escudo_dur</t>
  </si>
  <si>
    <t>Escudo que cura: segundos activo (sin recibir daño)</t>
  </si>
  <si>
    <t>escudo_cura_s</t>
  </si>
  <si>
    <t>Escudo que cura: fracción de la vida máxima que recupera por segundo</t>
  </si>
  <si>
    <t>habilidad_emp_cd</t>
  </si>
  <si>
    <t>Pulso EMP: enfriamiento (s)</t>
  </si>
  <si>
    <t>habilidad_emp_dur</t>
  </si>
  <si>
    <t>Pulso EMP: segundos activo</t>
  </si>
  <si>
    <t>emp_radio</t>
  </si>
  <si>
    <t>Pulso EMP: radio (m) en el que aturde</t>
  </si>
  <si>
    <t>emp_aturde_s</t>
  </si>
  <si>
    <t>Pulso EMP: segundos de aturdimiento (los jefes no se aturden)</t>
  </si>
  <si>
    <t>habilidad_lenta_cd</t>
  </si>
  <si>
    <t>Cámara lenta: enfriamiento (s)</t>
  </si>
  <si>
    <t>habilidad_lenta_dur</t>
  </si>
  <si>
    <t>Cámara lenta: segundos activa</t>
  </si>
  <si>
    <t>habilidad_cd_nivel</t>
  </si>
  <si>
    <t>Mejora de habilidad (Taller): fracción de enfriamiento que baja por nivel</t>
  </si>
  <si>
    <t>habilidad_efecto_nivel</t>
  </si>
  <si>
    <t>Mejora de habilidad (Taller): fracción de efecto que sube por nivel (petardos, segundos de escudo, aturdido del EMP y de cámara lenta)</t>
  </si>
  <si>
    <t>lenta_mundo</t>
  </si>
  <si>
    <t>Cámara lenta: velocidad del mundo (el auto no se frena)</t>
  </si>
  <si>
    <t>turbo_gasto</t>
  </si>
  <si>
    <t>Turbo: carga que gasta por segundo (de 100)</t>
  </si>
  <si>
    <t>turbo_vel</t>
  </si>
  <si>
    <t>Turbo: multiplicador de velocidad máxima</t>
  </si>
  <si>
    <t>turbo_acel</t>
  </si>
  <si>
    <t>Turbo: multiplicador de aceleración</t>
  </si>
  <si>
    <t>turbo_umbral</t>
  </si>
  <si>
    <t>Turbo: carga mínima para poder usarlo</t>
  </si>
  <si>
    <t>derrape_agarre</t>
  </si>
  <si>
    <t>Derrape: agarre lateral mientras se derrapa</t>
  </si>
  <si>
    <t>derrape_giro</t>
  </si>
  <si>
    <t>Derrape: multiplicador de giro</t>
  </si>
  <si>
    <t>embestida_vel_min</t>
  </si>
  <si>
    <t>Velocidad mínima (m/s) hacia el enemigo para que cuente como embestida</t>
  </si>
  <si>
    <t>embestida_recarga_s</t>
  </si>
  <si>
    <t>Segundos entre embestidas al mismo enemigo</t>
  </si>
  <si>
    <t>embestida_turbo</t>
  </si>
  <si>
    <t>Multiplicador de embestida con turbo</t>
  </si>
  <si>
    <t>embestida_turbo_axel</t>
  </si>
  <si>
    <t>Multiplicador de embestida con turbo para Axel</t>
  </si>
  <si>
    <t>embestida_rebote_masa</t>
  </si>
  <si>
    <t>Embestir algo con más de tantas veces tu masa rebota y duele</t>
  </si>
  <si>
    <t>contacto_dano</t>
  </si>
  <si>
    <t>Fracción del daño del bicho que se recibe por contacto o rebote</t>
  </si>
  <si>
    <t>contacto_recarga_s</t>
  </si>
  <si>
    <t>Segundos entre golpes de contacto de un mismo bicho</t>
  </si>
  <si>
    <t>contacto_invuln_s</t>
  </si>
  <si>
    <t>Segundos de invulnerabilidad tras un golpe de contacto</t>
  </si>
  <si>
    <t>contacto_jefe_empuje</t>
  </si>
  <si>
    <t>Empuje que da un jefe al auto al tocarlo</t>
  </si>
  <si>
    <t>combo_tope</t>
  </si>
  <si>
    <t>Combo de manejo: multiplicador máximo de XP</t>
  </si>
  <si>
    <t>combo_salto_limpio</t>
  </si>
  <si>
    <t>Combo de manejo: suma por un salto limpio</t>
  </si>
  <si>
    <t>combo_salto</t>
  </si>
  <si>
    <t>Combo de manejo: suma por un salto</t>
  </si>
  <si>
    <t>combo_derrape</t>
  </si>
  <si>
    <t>Combo de manejo: suma por un derrape largo</t>
  </si>
  <si>
    <t>combo_derrape_s</t>
  </si>
  <si>
    <t>Combo de manejo: segundos de derrape para sumar</t>
  </si>
  <si>
    <t>combo_espera_s</t>
  </si>
  <si>
    <t>Combo de manejo: segundos sin trucos antes de que baje</t>
  </si>
  <si>
    <t>combo_baja_s</t>
  </si>
  <si>
    <t>Combo de manejo: cuánto baja por segundo</t>
  </si>
  <si>
    <t>tornillos_partida_tipica</t>
  </si>
  <si>
    <t>Tornillos de una partida típica: el Taller lo usa para decir cuántas partidas faltan para pagar algo</t>
  </si>
  <si>
    <t>bicho_lento_mult</t>
  </si>
  <si>
    <t>Velocidad de un bicho normal empapado o enfriado (multiplicador)</t>
  </si>
  <si>
    <t>jefe_lento_mult</t>
  </si>
  <si>
    <t>Velocidad de un jefe empapado o enfriado (multiplicador)</t>
  </si>
  <si>
    <t>fase2_vida</t>
  </si>
  <si>
    <t>Un jefe pasa a fase 2 con menos de esta fracción de su vida</t>
  </si>
  <si>
    <t>segunda_barra_vida</t>
  </si>
  <si>
    <t>Jefe final: al vaciar la primera barra ruge y se llena una segunda con esta fracción de su vida</t>
  </si>
  <si>
    <t>segunda_barra_dano</t>
  </si>
  <si>
    <t>Jefe final en la segunda barra: multiplicador del daño que hace al auto</t>
  </si>
  <si>
    <t>fase2_vel</t>
  </si>
  <si>
    <t>Fase 2: multiplicador de velocidad</t>
  </si>
  <si>
    <t>fase2_rugido_s</t>
  </si>
  <si>
    <t>Fase 2: segundos que ruge quieto</t>
  </si>
  <si>
    <t>acido_dano</t>
  </si>
  <si>
    <t>Daño de un escupitajo o una tuerca al auto</t>
  </si>
  <si>
    <t>acido_vel</t>
  </si>
  <si>
    <t>Velocidad (m/s) de escupitajos y tuercas</t>
  </si>
  <si>
    <t>salto_dano</t>
  </si>
  <si>
    <t>Daño del aplastón de los saltos (tarántula, Eulalio, Felipe) si el auto está dentro del radio</t>
  </si>
  <si>
    <t>salto_radio</t>
  </si>
  <si>
    <t>Radio (m) del aplastón de los saltos</t>
  </si>
  <si>
    <t>salto_aplasta_radio</t>
  </si>
  <si>
    <t>Radio (m) en el que el aplastón liquida a los bichos normales</t>
  </si>
  <si>
    <t>robot_carga_s</t>
  </si>
  <si>
    <t>Robot a cuerda: segundos que sale disparado</t>
  </si>
  <si>
    <t>robot_pausa_s</t>
  </si>
  <si>
    <t>Robot a cuerda: segundos que apunta quieto antes de cargar</t>
  </si>
  <si>
    <t>cortadora_carga_s</t>
  </si>
  <si>
    <t>Cortadora: segundos que carga en línea recta</t>
  </si>
  <si>
    <t>cortadora_pausa_s</t>
  </si>
  <si>
    <t>Cortadora: segundos que apunta quieta antes de cargar</t>
  </si>
  <si>
    <t>escupidora_distancia</t>
  </si>
  <si>
    <t>Escupidora: distancia (m) a la que se frena para escupir</t>
  </si>
  <si>
    <t>escupidora_cada_s</t>
  </si>
  <si>
    <t>Escupidora: segundos entre escupitajos</t>
  </si>
  <si>
    <t>escarabajo_distancia</t>
  </si>
  <si>
    <t>Escarabajo: distancia (m) a la que embiste</t>
  </si>
  <si>
    <t>escarabajo_vel_mult</t>
  </si>
  <si>
    <t>Escarabajo: multiplicador de velocidad de la embestida</t>
  </si>
  <si>
    <t>escarabajo_espera_s</t>
  </si>
  <si>
    <t>Escarabajo: segundos de espera tras una embestida</t>
  </si>
  <si>
    <t>polilla_picada_vel</t>
  </si>
  <si>
    <t>Polilla: multiplicador de velocidad al lanzarse contra el auto</t>
  </si>
  <si>
    <t>polilla_picada_s</t>
  </si>
  <si>
    <t>Polilla: segundos que dura la picada</t>
  </si>
  <si>
    <t>polilla_vuelo_min</t>
  </si>
  <si>
    <t>Polilla: segundos mínimos revoloteando entre picadas</t>
  </si>
  <si>
    <t>polilla_vuelo_rango</t>
  </si>
  <si>
    <t>Polilla: segundos extra al azar entre picadas</t>
  </si>
  <si>
    <t>tarantula_rafaga_radio</t>
  </si>
  <si>
    <t>Tarántula: radio (m) del aro de la ráfaga</t>
  </si>
  <si>
    <t>tarantula_rafaga_aviso_s</t>
  </si>
  <si>
    <t>Tarántula: segundos de aviso de la ráfaga</t>
  </si>
  <si>
    <t>tarantula_rafaga_n</t>
  </si>
  <si>
    <t>Tarántula: escupitajos por ráfaga</t>
  </si>
  <si>
    <t>tarantula_rafaga_intervalo_s</t>
  </si>
  <si>
    <t>Tarántula: segundos entre escupitajos</t>
  </si>
  <si>
    <t>tarantula_rafaga_descanso_s</t>
  </si>
  <si>
    <t>Tarántula: segundos de descanso tras la ráfaga</t>
  </si>
  <si>
    <t>tarantula_salto_aviso_s</t>
  </si>
  <si>
    <t>Tarántula: segundos de aviso del salto</t>
  </si>
  <si>
    <t>tarantula_salto_alcance</t>
  </si>
  <si>
    <t>Tarántula: alcance máximo (m) del salto</t>
  </si>
  <si>
    <t>tarantula_salto_descanso_s</t>
  </si>
  <si>
    <t>Tarántula: segundos de descanso tras el salto</t>
  </si>
  <si>
    <t>tarantula_prob_rafaga</t>
  </si>
  <si>
    <t>Tarántula: probabilidad de elegir la ráfaga (si no, salta)</t>
  </si>
  <si>
    <t>aspiradora_radio</t>
  </si>
  <si>
    <t>Aspiradora: radio (m) del aro de succión</t>
  </si>
  <si>
    <t>aspiradora_aviso_s</t>
  </si>
  <si>
    <t>Aspiradora: segundos de aviso de la succión</t>
  </si>
  <si>
    <t>aspiradora_succion_s</t>
  </si>
  <si>
    <t>Aspiradora: segundos que succiona</t>
  </si>
  <si>
    <t>aspiradora_succion_vel</t>
  </si>
  <si>
    <t>Aspiradora: velocidad (m/s) mientras succiona</t>
  </si>
  <si>
    <t>aspiradora_succion_min</t>
  </si>
  <si>
    <t>Aspiradora: aceleración (m/s²) de succión en el borde del aro</t>
  </si>
  <si>
    <t>aspiradora_succion_extra</t>
  </si>
  <si>
    <t>Aspiradora: aceleración extra (m/s²) de succión pegada al centro</t>
  </si>
  <si>
    <t>aspiradora_tuercas_aviso_s</t>
  </si>
  <si>
    <t>Aspiradora: segundos de aviso de las tuercas</t>
  </si>
  <si>
    <t>aspiradora_rafagas</t>
  </si>
  <si>
    <t>Aspiradora: ráfagas de tuercas por ciclo</t>
  </si>
  <si>
    <t>aspiradora_rafaga_intervalo_s</t>
  </si>
  <si>
    <t>Aspiradora: segundos entre ráfagas</t>
  </si>
  <si>
    <t>aspiradora_abanico_n</t>
  </si>
  <si>
    <t>Aspiradora: tuercas por ráfaga</t>
  </si>
  <si>
    <t>aspiradora_abanico_ang</t>
  </si>
  <si>
    <t>Aspiradora: separación (rad) entre tuercas</t>
  </si>
  <si>
    <t>aspiradora_descanso_s</t>
  </si>
  <si>
    <t>Aspiradora: segundos de descanso entre ciclos</t>
  </si>
  <si>
    <t>cortacercos_distancia</t>
  </si>
  <si>
    <t>Cortacercos: distancia (m) a la que anuncia el barrido</t>
  </si>
  <si>
    <t>cortacercos_aviso_s</t>
  </si>
  <si>
    <t>Cortacercos: segundos de aviso del barrido</t>
  </si>
  <si>
    <t>cortacercos_radio</t>
  </si>
  <si>
    <t>Cortacercos: radio (m) del barrido</t>
  </si>
  <si>
    <t>cortacercos_descanso_s</t>
  </si>
  <si>
    <t>Cortacercos: segundos de descanso tras barrer</t>
  </si>
  <si>
    <t>cortacercos_siembra_s</t>
  </si>
  <si>
    <t>Cortacercos: segundos sin barrer tras los que siembra un cable igual</t>
  </si>
  <si>
    <t>cortacercos_cable_vida_s</t>
  </si>
  <si>
    <t>Cortacercos: segundos que dura un cable en el piso</t>
  </si>
  <si>
    <t>cortacercos_cables_max</t>
  </si>
  <si>
    <t>Cortacercos: cables simultáneos</t>
  </si>
  <si>
    <t>cortacercos_barrido_dano</t>
  </si>
  <si>
    <t>Cortacercos: daño del barrido</t>
  </si>
  <si>
    <t>cortacercos_cable_dano</t>
  </si>
  <si>
    <t>Cortacercos: daño de pisar un cable</t>
  </si>
  <si>
    <t>cortacercos_cable_recarga_s</t>
  </si>
  <si>
    <t>Cortacercos: segundos entre descargas de un cable</t>
  </si>
  <si>
    <t>gato_distancia</t>
  </si>
  <si>
    <t>Eulalio: distancia (m) a la que empieza a atacar</t>
  </si>
  <si>
    <t>gato_prob_salto</t>
  </si>
  <si>
    <t>Eulalio: probabilidad de saltar</t>
  </si>
  <si>
    <t>gato_prob_trompo</t>
  </si>
  <si>
    <t>Eulalio: probabilidad de trompo (el resto es arranque)</t>
  </si>
  <si>
    <t>gato_salto_aviso_s</t>
  </si>
  <si>
    <t>Eulalio: segundos de aviso del salto</t>
  </si>
  <si>
    <t>gato_salto_alcance</t>
  </si>
  <si>
    <t>Eulalio: alcance máximo (m) del salto</t>
  </si>
  <si>
    <t>gato_salto_descanso_s</t>
  </si>
  <si>
    <t>Eulalio: segundos de descanso tras el salto</t>
  </si>
  <si>
    <t>gato_trompo_aviso_s</t>
  </si>
  <si>
    <t>Eulalio: segundos de aviso del trompo</t>
  </si>
  <si>
    <t>gato_trompo_s</t>
  </si>
  <si>
    <t>Eulalio: segundos que rueda</t>
  </si>
  <si>
    <t>gato_trompo_vel</t>
  </si>
  <si>
    <t>Eulalio: velocidad (m/s) del trompo</t>
  </si>
  <si>
    <t>gato_trompo_pausa_min</t>
  </si>
  <si>
    <t>Eulalio: segundos mínimos de pausa tras el trompo</t>
  </si>
  <si>
    <t>gato_trompo_pausa_rango</t>
  </si>
  <si>
    <t>Eulalio: segundos extra al azar tras el trompo</t>
  </si>
  <si>
    <t>gato_arranque_aviso_s</t>
  </si>
  <si>
    <t>Eulalio: segundos de aviso del arranque</t>
  </si>
  <si>
    <t>gato_arranque_vel</t>
  </si>
  <si>
    <t>Eulalio: velocidad (m/s) del arranque</t>
  </si>
  <si>
    <t>gato_arranque_pausa_min</t>
  </si>
  <si>
    <t>Eulalio: segundos mínimos de pausa tras el arranque</t>
  </si>
  <si>
    <t>gato_arranque_pausa_rango</t>
  </si>
  <si>
    <t>Eulalio: segundos extra al azar tras el arranque</t>
  </si>
  <si>
    <t>gato_maullido_cada_s</t>
  </si>
  <si>
    <t>Eulalio (fase 2): segundos entre maullidos que llaman polillas</t>
  </si>
  <si>
    <t>gato_maullido_polillas</t>
  </si>
  <si>
    <t>Eulalio (fase 2): polillas por maullido</t>
  </si>
  <si>
    <t>perro_distancia</t>
  </si>
  <si>
    <t>Felipe: distancia (m) a la que empieza a atacar</t>
  </si>
  <si>
    <t>perro_prob_salto</t>
  </si>
  <si>
    <t>Felipe: probabilidad de saltar</t>
  </si>
  <si>
    <t>perro_prob_embestida</t>
  </si>
  <si>
    <t>Felipe: probabilidad de embestir</t>
  </si>
  <si>
    <t>perro_prob_zoomies</t>
  </si>
  <si>
    <t>Felipe: probabilidad de zoomies (el resto es giro)</t>
  </si>
  <si>
    <t>perro_salto_alcance</t>
  </si>
  <si>
    <t>Felipe: alcance máximo (m) del salto</t>
  </si>
  <si>
    <t>perro_salto_descanso_s</t>
  </si>
  <si>
    <t>Felipe: segundos del salto antes de la próxima decisión</t>
  </si>
  <si>
    <t>perro_salto_descanso_furia_s</t>
  </si>
  <si>
    <t>Felipe (fase 2): ídem</t>
  </si>
  <si>
    <t>perro_zoomies_s</t>
  </si>
  <si>
    <t>Felipe: segundos de zoomies</t>
  </si>
  <si>
    <t>perro_zoomies_vel</t>
  </si>
  <si>
    <t>Felipe: multiplicador de velocidad de los zoomies</t>
  </si>
  <si>
    <t>perro_giro_s</t>
  </si>
  <si>
    <t>Felipe: segundos de giro</t>
  </si>
  <si>
    <t>perro_pausa_s</t>
  </si>
  <si>
    <t>Felipe: segundos de pausa tras zoomies o giro</t>
  </si>
  <si>
    <t>perro_embestida_aviso_s</t>
  </si>
  <si>
    <t>Felipe: segundos que apunta antes de embestir</t>
  </si>
  <si>
    <t>perro_embestida_aviso_furia_s</t>
  </si>
  <si>
    <t>perro_embestida_vel</t>
  </si>
  <si>
    <t>Felipe: velocidad (m/s) de la embestida</t>
  </si>
  <si>
    <t>perro_embestida_largo</t>
  </si>
  <si>
    <t>Felipe: largo (m) de la carga</t>
  </si>
  <si>
    <t>perro_embestida_ancho</t>
  </si>
  <si>
    <t>Felipe: ancho (m) del carril de la embestida</t>
  </si>
  <si>
    <t>perro_embestida_frenada_s</t>
  </si>
  <si>
    <t>Felipe: segundos que patina al frenar</t>
  </si>
  <si>
    <t>perro_embestida_pausa_s</t>
  </si>
  <si>
    <t>Felipe: segundos de pausa tras frenar</t>
  </si>
  <si>
    <t>Golpes para matar</t>
  </si>
  <si>
    <t>Cuántos golpes de cada arma (a nivel 1 y a nivel 5, sin evolución) y cuántas embestidas hacen falta para matar a cada bicho. Se recalcula con las hojas enemigos, armas, autos y ritmo.</t>
  </si>
  <si>
    <t>Segundo de la partida (la vida de los bichos normales sube con el tiempo)</t>
  </si>
  <si>
    <t>Multiplicador de daño del equipo (pasivas Lupa, mejoras del taller, piloto)</t>
  </si>
  <si>
    <t>Auto de la embestida (id de la hoja autos)</t>
  </si>
  <si>
    <t>Velocidad típica de embestida hacia el enemigo (m/s)</t>
  </si>
  <si>
    <t>Multiplicador extra de embestida (turbo 1,3; Lápiz-lanza nivel 5: 2,75)</t>
  </si>
  <si>
    <t>Embestida</t>
  </si>
  <si>
    <t>id del arma</t>
  </si>
  <si>
    <t>nivel</t>
  </si>
  <si>
    <t>vida efectiva / daño por golpe</t>
  </si>
  <si>
    <t>Tiempo para matar a cada jefe</t>
  </si>
  <si>
    <t>Segundos estimados = vida ÷ (DPS supuesto × presencia). El DPS es un SUPUESTO por jefe (calibrar con __bossDuel: ver CLAUDE.md); no sale de la hoja armas.</t>
  </si>
  <si>
    <t>Presencia: fracción del tiempo en que el equipo logra pegarle al jefe (0 a 1)</t>
  </si>
  <si>
    <t>vida (con segunda barra)</t>
  </si>
  <si>
    <t>DPS supuesto del equipo</t>
  </si>
  <si>
    <t>segundos para matarlo</t>
  </si>
  <si>
    <t>minutos</t>
  </si>
  <si>
    <t>Partidas para comprar</t>
  </si>
  <si>
    <t>Precio ÷ tornillos promedio por partida, por cada nivel de mejora, auto, piloto, zona y pieza. Se recalcula con las hojas precios, autos, pilotos y ritmo.</t>
  </si>
  <si>
    <t>Tornillos promedio por partida (sale de ritmo tornillos_partida_tipica; el taller lo usa para decir cuántas partidas faltan)</t>
  </si>
  <si>
    <t>Referencia: tiempo medio sobrevivido (s)</t>
  </si>
  <si>
    <t>Referencia: bajas medias por partida</t>
  </si>
  <si>
    <t>Referencia: jefes derrotados por partida</t>
  </si>
  <si>
    <t>Tornillos por partida según la fórmula del juego con esas referencias (no alimenta nada)</t>
  </si>
  <si>
    <t>total</t>
  </si>
  <si>
    <t>auto</t>
  </si>
  <si>
    <t>piloto</t>
  </si>
  <si>
    <t>Todo el taller (partidas)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</si>
</sst>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color theme="1"/>
      <family val="2"/>
      <scheme val="minor"/>
      <sz val="11"/>
      <name val="Calibri"/>
    </font>
    <font>
      <b/>
    </font>
    <font>
      <b/>
      <color rgb="FFFFFFFF"/>
    </font>
    <font>
      <i/>
      <color rgb="FF6B7280"/>
    </font>
    <font>
      <b/>
      <sz val="14"/>
    </font>
    <font>
      <color rgb="FF6B7280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2B3"/>
      </patternFill>
    </fill>
    <fill>
      <patternFill patternType="solid">
        <fgColor rgb="FFE8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/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0" fillId="3" borderId="0" xfId="0" applyFill="1"/>
    <xf numFmtId="0" fontId="0" fillId="0" borderId="0" xfId="0" applyAlignment="1">
      <alignment vertical="top" wrapText="1"/>
    </xf>
    <xf numFmtId="0" fontId="5" fillId="0" borderId="0" xfId="0" applyFont="1"/>
    <xf numFmtId="0" fontId="1" fillId="4" borderId="0" xfId="0" applyFont="1" applyFill="1"/>
    <xf numFmtId="164" fontId="0" fillId="0" borderId="0" xfId="0" applyNumberFormat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FormatPr defaultRowHeight="15" outlineLevelRow="0" outlineLevelCol="0" x14ac:dyDescent="55"/>
  <cols>
    <col min="1" max="1" width="16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1" width="13" customWidth="1"/>
  </cols>
  <sheetData>
    <row r="1" spans="1:11" x14ac:dyDescent="0.25">
      <c r="A1" s="2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ht="78" customHeight="1" spans="1:11" x14ac:dyDescent="0.25">
      <c r="A2" s="4" t="s">
        <v>17</v>
      </c>
      <c r="B2" s="5" t="s">
        <v>18</v>
      </c>
      <c r="C2" s="5" t="s">
        <v>19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  <c r="K2" s="5" t="s">
        <v>27</v>
      </c>
    </row>
    <row r="3" spans="1:11" x14ac:dyDescent="0.25">
      <c r="A3" s="1" t="s">
        <v>28</v>
      </c>
      <c r="B3" t="s">
        <v>29</v>
      </c>
      <c r="C3" t="s">
        <v>30</v>
      </c>
      <c r="D3">
        <v>11</v>
      </c>
      <c r="E3">
        <v>8</v>
      </c>
      <c r="F3">
        <v>6</v>
      </c>
      <c r="G3">
        <v>0.4</v>
      </c>
      <c r="H3">
        <v>1</v>
      </c>
      <c r="I3">
        <v>0</v>
      </c>
      <c r="J3">
        <v>10</v>
      </c>
      <c r="K3">
        <v>0</v>
      </c>
    </row>
    <row r="4" spans="1:11" x14ac:dyDescent="0.25">
      <c r="A4" s="1" t="s">
        <v>31</v>
      </c>
      <c r="B4" t="s">
        <v>32</v>
      </c>
      <c r="C4" t="s">
        <v>30</v>
      </c>
      <c r="D4">
        <v>22</v>
      </c>
      <c r="E4">
        <v>7</v>
      </c>
      <c r="F4">
        <v>8</v>
      </c>
      <c r="G4">
        <v>0.7</v>
      </c>
      <c r="H4">
        <v>3</v>
      </c>
      <c r="I4">
        <v>1.5</v>
      </c>
      <c r="J4">
        <v>1</v>
      </c>
      <c r="K4">
        <v>0.6</v>
      </c>
    </row>
    <row r="5" spans="1:11" x14ac:dyDescent="0.25">
      <c r="A5" s="1" t="s">
        <v>33</v>
      </c>
      <c r="B5" t="s">
        <v>34</v>
      </c>
      <c r="C5" t="s">
        <v>30</v>
      </c>
      <c r="D5">
        <v>18</v>
      </c>
      <c r="E5">
        <v>12.5</v>
      </c>
      <c r="F5">
        <v>7</v>
      </c>
      <c r="G5">
        <v>0.7</v>
      </c>
      <c r="H5">
        <v>2</v>
      </c>
      <c r="I5">
        <v>0.5</v>
      </c>
      <c r="J5">
        <v>4</v>
      </c>
      <c r="K5">
        <v>1</v>
      </c>
    </row>
    <row r="6" spans="1:11" x14ac:dyDescent="0.25">
      <c r="A6" s="1" t="s">
        <v>35</v>
      </c>
      <c r="B6" t="s">
        <v>36</v>
      </c>
      <c r="C6" t="s">
        <v>30</v>
      </c>
      <c r="D6">
        <v>40</v>
      </c>
      <c r="E6">
        <v>18</v>
      </c>
      <c r="F6">
        <v>10</v>
      </c>
      <c r="G6">
        <v>1.3</v>
      </c>
      <c r="H6">
        <v>3</v>
      </c>
      <c r="I6">
        <v>1.5</v>
      </c>
      <c r="J6">
        <v>2</v>
      </c>
      <c r="K6">
        <v>0.6</v>
      </c>
    </row>
    <row r="7" spans="1:11" x14ac:dyDescent="0.25">
      <c r="A7" s="1" t="s">
        <v>37</v>
      </c>
      <c r="B7" t="s">
        <v>38</v>
      </c>
      <c r="C7" t="s">
        <v>30</v>
      </c>
      <c r="D7">
        <v>12</v>
      </c>
      <c r="E7">
        <v>11</v>
      </c>
      <c r="F7">
        <v>5</v>
      </c>
      <c r="G7">
        <v>0.3</v>
      </c>
      <c r="H7">
        <v>2</v>
      </c>
      <c r="I7">
        <v>2.5</v>
      </c>
      <c r="J7">
        <v>1</v>
      </c>
      <c r="K7">
        <v>0.4</v>
      </c>
    </row>
    <row r="8" spans="1:11" x14ac:dyDescent="0.25">
      <c r="A8" s="1" t="s">
        <v>39</v>
      </c>
      <c r="B8" t="s">
        <v>40</v>
      </c>
      <c r="C8" t="s">
        <v>30</v>
      </c>
      <c r="D8">
        <v>90</v>
      </c>
      <c r="E8">
        <v>4.5</v>
      </c>
      <c r="F8">
        <v>12</v>
      </c>
      <c r="G8">
        <v>3</v>
      </c>
      <c r="H8">
        <v>6</v>
      </c>
      <c r="I8">
        <v>3.5</v>
      </c>
      <c r="J8">
        <v>1</v>
      </c>
      <c r="K8">
        <v>0.5</v>
      </c>
    </row>
    <row r="9" spans="1:11" x14ac:dyDescent="0.25">
      <c r="A9" s="1" t="s">
        <v>41</v>
      </c>
      <c r="B9" t="s">
        <v>42</v>
      </c>
      <c r="C9" t="s">
        <v>43</v>
      </c>
      <c r="D9">
        <v>1800</v>
      </c>
      <c r="E9">
        <v>6</v>
      </c>
      <c r="F9">
        <v>30</v>
      </c>
      <c r="G9">
        <v>40</v>
      </c>
      <c r="H9">
        <v>60</v>
      </c>
      <c r="I9">
        <v>0</v>
      </c>
      <c r="J9">
        <v>0</v>
      </c>
      <c r="K9">
        <v>0</v>
      </c>
    </row>
    <row r="10" spans="1:11" x14ac:dyDescent="0.25">
      <c r="A10" s="1" t="s">
        <v>44</v>
      </c>
      <c r="B10" t="s">
        <v>45</v>
      </c>
      <c r="C10" t="s">
        <v>43</v>
      </c>
      <c r="D10">
        <v>3500</v>
      </c>
      <c r="E10">
        <v>15</v>
      </c>
      <c r="F10">
        <v>45</v>
      </c>
      <c r="G10">
        <v>80</v>
      </c>
      <c r="H10">
        <v>120</v>
      </c>
      <c r="I10">
        <v>0</v>
      </c>
      <c r="J10">
        <v>0</v>
      </c>
      <c r="K10">
        <v>0</v>
      </c>
    </row>
    <row r="11" spans="1:11" x14ac:dyDescent="0.25">
      <c r="A11" s="1" t="s">
        <v>46</v>
      </c>
      <c r="B11" t="s">
        <v>47</v>
      </c>
      <c r="C11" t="s">
        <v>43</v>
      </c>
      <c r="D11">
        <v>2600</v>
      </c>
      <c r="E11">
        <v>7</v>
      </c>
      <c r="F11">
        <v>35</v>
      </c>
      <c r="G11">
        <v>50</v>
      </c>
      <c r="H11">
        <v>100</v>
      </c>
      <c r="I11">
        <v>0</v>
      </c>
      <c r="J11">
        <v>0</v>
      </c>
      <c r="K11">
        <v>0</v>
      </c>
    </row>
    <row r="12" spans="1:11" x14ac:dyDescent="0.25">
      <c r="A12" s="1" t="s">
        <v>48</v>
      </c>
      <c r="B12" t="s">
        <v>49</v>
      </c>
      <c r="C12" t="s">
        <v>43</v>
      </c>
      <c r="D12">
        <v>2900</v>
      </c>
      <c r="E12">
        <v>11</v>
      </c>
      <c r="F12">
        <v>32</v>
      </c>
      <c r="G12">
        <v>60</v>
      </c>
      <c r="H12">
        <v>110</v>
      </c>
      <c r="I12">
        <v>0</v>
      </c>
      <c r="J12">
        <v>0</v>
      </c>
      <c r="K12">
        <v>0</v>
      </c>
    </row>
    <row r="13" spans="1:11" x14ac:dyDescent="0.25">
      <c r="A13" s="1" t="s">
        <v>50</v>
      </c>
      <c r="B13" t="s">
        <v>51</v>
      </c>
      <c r="C13" t="s">
        <v>52</v>
      </c>
      <c r="D13">
        <v>8000</v>
      </c>
      <c r="E13">
        <v>9</v>
      </c>
      <c r="F13">
        <v>40</v>
      </c>
      <c r="G13">
        <v>100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s="1" t="s">
        <v>53</v>
      </c>
      <c r="B14" t="s">
        <v>54</v>
      </c>
      <c r="C14" t="s">
        <v>52</v>
      </c>
      <c r="D14">
        <v>7500</v>
      </c>
      <c r="E14">
        <v>7</v>
      </c>
      <c r="F14">
        <v>35</v>
      </c>
      <c r="G14">
        <v>90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s="1" t="s">
        <v>55</v>
      </c>
      <c r="B15" t="s">
        <v>56</v>
      </c>
      <c r="C15" t="s">
        <v>52</v>
      </c>
      <c r="D15">
        <v>7000</v>
      </c>
      <c r="E15">
        <v>8</v>
      </c>
      <c r="F15">
        <v>40</v>
      </c>
      <c r="G15">
        <v>80</v>
      </c>
      <c r="H15">
        <v>0</v>
      </c>
      <c r="I15">
        <v>0</v>
      </c>
      <c r="J15">
        <v>0</v>
      </c>
      <c r="K1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26" width="13" customWidth="1"/>
  </cols>
  <sheetData>
    <row r="1" spans="1:26" x14ac:dyDescent="0.25">
      <c r="A1" s="2" t="s">
        <v>6</v>
      </c>
      <c r="B1" s="3" t="s">
        <v>7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  <c r="I1" s="3" t="s">
        <v>63</v>
      </c>
      <c r="J1" s="3" t="s">
        <v>64</v>
      </c>
      <c r="K1" s="3" t="s">
        <v>65</v>
      </c>
      <c r="L1" s="3" t="s">
        <v>66</v>
      </c>
      <c r="M1" s="3" t="s">
        <v>67</v>
      </c>
      <c r="N1" s="3" t="s">
        <v>68</v>
      </c>
      <c r="O1" s="3" t="s">
        <v>69</v>
      </c>
      <c r="P1" s="3" t="s">
        <v>70</v>
      </c>
      <c r="Q1" s="3" t="s">
        <v>71</v>
      </c>
      <c r="R1" s="3" t="s">
        <v>72</v>
      </c>
      <c r="S1" s="3" t="s">
        <v>73</v>
      </c>
      <c r="T1" s="3" t="s">
        <v>74</v>
      </c>
      <c r="U1" s="3" t="s">
        <v>75</v>
      </c>
      <c r="V1" s="3" t="s">
        <v>76</v>
      </c>
      <c r="W1" s="3" t="s">
        <v>77</v>
      </c>
      <c r="X1" s="3" t="s">
        <v>78</v>
      </c>
      <c r="Y1" s="3" t="s">
        <v>79</v>
      </c>
      <c r="Z1" s="3" t="s">
        <v>10</v>
      </c>
    </row>
    <row r="2" ht="78" customHeight="1" spans="1:26" x14ac:dyDescent="0.25">
      <c r="A2" s="4" t="s">
        <v>80</v>
      </c>
      <c r="B2" s="5" t="s">
        <v>81</v>
      </c>
      <c r="C2" s="5" t="s">
        <v>82</v>
      </c>
      <c r="D2" s="5" t="s">
        <v>83</v>
      </c>
      <c r="E2" s="5" t="s">
        <v>84</v>
      </c>
      <c r="F2" s="5" t="s">
        <v>85</v>
      </c>
      <c r="G2" s="5" t="s">
        <v>86</v>
      </c>
      <c r="H2" s="5" t="s">
        <v>87</v>
      </c>
      <c r="I2" s="5" t="s">
        <v>88</v>
      </c>
      <c r="J2" s="5" t="s">
        <v>89</v>
      </c>
      <c r="K2" s="5" t="s">
        <v>90</v>
      </c>
      <c r="L2" s="5" t="s">
        <v>91</v>
      </c>
      <c r="M2" s="5" t="s">
        <v>92</v>
      </c>
      <c r="N2" s="5" t="s">
        <v>93</v>
      </c>
      <c r="O2" s="5" t="s">
        <v>94</v>
      </c>
      <c r="P2" s="5" t="s">
        <v>95</v>
      </c>
      <c r="Q2" s="5" t="s">
        <v>96</v>
      </c>
      <c r="R2" s="5" t="s">
        <v>97</v>
      </c>
      <c r="S2" s="5" t="s">
        <v>98</v>
      </c>
      <c r="T2" s="5" t="s">
        <v>99</v>
      </c>
      <c r="U2" s="5" t="s">
        <v>100</v>
      </c>
      <c r="V2" s="5" t="s">
        <v>101</v>
      </c>
      <c r="W2" s="5" t="s">
        <v>102</v>
      </c>
      <c r="X2" s="5" t="s">
        <v>103</v>
      </c>
      <c r="Y2" s="5" t="s">
        <v>94</v>
      </c>
      <c r="Z2" s="5" t="s">
        <v>104</v>
      </c>
    </row>
    <row r="3" spans="1:26" x14ac:dyDescent="0.25">
      <c r="A3" s="1" t="s">
        <v>105</v>
      </c>
      <c r="B3" t="s">
        <v>106</v>
      </c>
      <c r="C3" t="s">
        <v>107</v>
      </c>
      <c r="D3">
        <v>10</v>
      </c>
      <c r="E3">
        <v>4</v>
      </c>
      <c r="F3">
        <v>1.4</v>
      </c>
      <c r="G3">
        <v>0</v>
      </c>
      <c r="H3">
        <v>1.1</v>
      </c>
      <c r="I3">
        <v>0</v>
      </c>
      <c r="J3">
        <v>0</v>
      </c>
      <c r="K3">
        <v>0.12</v>
      </c>
      <c r="L3">
        <v>0</v>
      </c>
      <c r="M3">
        <v>1.5</v>
      </c>
      <c r="N3">
        <v>22</v>
      </c>
      <c r="O3">
        <v>0</v>
      </c>
      <c r="P3">
        <v>0</v>
      </c>
      <c r="Q3">
        <v>0</v>
      </c>
      <c r="R3">
        <v>0</v>
      </c>
      <c r="S3">
        <v>1</v>
      </c>
      <c r="T3">
        <v>2</v>
      </c>
      <c r="U3">
        <v>1</v>
      </c>
      <c r="V3">
        <v>5</v>
      </c>
      <c r="W3">
        <v>1.2</v>
      </c>
      <c r="X3">
        <v>0</v>
      </c>
      <c r="Y3">
        <v>0</v>
      </c>
      <c r="Z3">
        <v>30</v>
      </c>
    </row>
    <row r="4" spans="1:26" x14ac:dyDescent="0.25">
      <c r="A4" s="1" t="s">
        <v>108</v>
      </c>
      <c r="B4" t="s">
        <v>109</v>
      </c>
      <c r="C4" t="s">
        <v>110</v>
      </c>
      <c r="D4">
        <v>8</v>
      </c>
      <c r="E4">
        <v>4</v>
      </c>
      <c r="F4">
        <v>1</v>
      </c>
      <c r="G4">
        <v>30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2.6</v>
      </c>
      <c r="Q4">
        <v>0</v>
      </c>
      <c r="R4">
        <v>4.5</v>
      </c>
      <c r="S4">
        <v>1</v>
      </c>
      <c r="T4">
        <v>1</v>
      </c>
      <c r="U4">
        <v>0</v>
      </c>
      <c r="V4">
        <v>8</v>
      </c>
      <c r="W4">
        <v>0</v>
      </c>
      <c r="X4">
        <v>0</v>
      </c>
      <c r="Y4">
        <v>0</v>
      </c>
      <c r="Z4">
        <v>0</v>
      </c>
    </row>
    <row r="5" spans="1:26" x14ac:dyDescent="0.25">
      <c r="A5" s="1" t="s">
        <v>111</v>
      </c>
      <c r="B5" t="s">
        <v>112</v>
      </c>
      <c r="C5" t="s">
        <v>113</v>
      </c>
      <c r="D5">
        <v>10</v>
      </c>
      <c r="E5">
        <v>6</v>
      </c>
      <c r="F5">
        <v>1</v>
      </c>
      <c r="G5">
        <v>50</v>
      </c>
      <c r="H5">
        <v>0</v>
      </c>
      <c r="I5">
        <v>0</v>
      </c>
      <c r="J5">
        <v>0</v>
      </c>
      <c r="K5">
        <v>0</v>
      </c>
      <c r="L5">
        <v>0</v>
      </c>
      <c r="M5">
        <v>1</v>
      </c>
      <c r="N5">
        <v>0</v>
      </c>
      <c r="O5">
        <v>0</v>
      </c>
      <c r="P5">
        <v>0.8</v>
      </c>
      <c r="Q5">
        <v>0.08</v>
      </c>
      <c r="R5">
        <v>1.7</v>
      </c>
      <c r="S5">
        <v>0</v>
      </c>
      <c r="T5">
        <v>0</v>
      </c>
      <c r="U5">
        <v>0</v>
      </c>
      <c r="V5">
        <v>0</v>
      </c>
      <c r="W5">
        <v>1.2</v>
      </c>
      <c r="X5">
        <v>0.3</v>
      </c>
      <c r="Y5">
        <v>4</v>
      </c>
      <c r="Z5">
        <v>0</v>
      </c>
    </row>
    <row r="6" spans="1:26" x14ac:dyDescent="0.25">
      <c r="A6" s="1" t="s">
        <v>114</v>
      </c>
      <c r="B6" t="s">
        <v>115</v>
      </c>
      <c r="C6" t="s">
        <v>116</v>
      </c>
      <c r="D6">
        <v>30</v>
      </c>
      <c r="E6">
        <v>15</v>
      </c>
      <c r="F6">
        <v>1</v>
      </c>
      <c r="G6">
        <v>0</v>
      </c>
      <c r="H6">
        <v>3.2</v>
      </c>
      <c r="I6">
        <v>0.8</v>
      </c>
      <c r="J6">
        <v>0.3</v>
      </c>
      <c r="K6">
        <v>0</v>
      </c>
      <c r="L6">
        <v>0</v>
      </c>
      <c r="M6">
        <v>1</v>
      </c>
      <c r="N6">
        <v>18</v>
      </c>
      <c r="O6">
        <v>0</v>
      </c>
      <c r="P6">
        <v>3</v>
      </c>
      <c r="Q6">
        <v>0.3</v>
      </c>
      <c r="R6">
        <v>0</v>
      </c>
      <c r="S6">
        <v>1</v>
      </c>
      <c r="T6">
        <v>3</v>
      </c>
      <c r="U6">
        <v>0</v>
      </c>
      <c r="V6">
        <v>0</v>
      </c>
      <c r="W6">
        <v>0.6</v>
      </c>
      <c r="X6">
        <v>0</v>
      </c>
      <c r="Y6">
        <v>0</v>
      </c>
      <c r="Z6">
        <v>0</v>
      </c>
    </row>
    <row r="7" spans="1:26" x14ac:dyDescent="0.25">
      <c r="A7" s="1" t="s">
        <v>117</v>
      </c>
      <c r="B7" t="s">
        <v>118</v>
      </c>
      <c r="C7" t="s">
        <v>119</v>
      </c>
      <c r="D7">
        <v>18</v>
      </c>
      <c r="E7">
        <v>8</v>
      </c>
      <c r="F7">
        <v>1.5</v>
      </c>
      <c r="G7">
        <v>0</v>
      </c>
      <c r="H7">
        <v>1.4</v>
      </c>
      <c r="I7">
        <v>0.5</v>
      </c>
      <c r="J7">
        <v>0.1</v>
      </c>
      <c r="K7">
        <v>0</v>
      </c>
      <c r="L7">
        <v>0.45</v>
      </c>
      <c r="M7">
        <v>1</v>
      </c>
      <c r="N7">
        <v>9</v>
      </c>
      <c r="O7">
        <v>0</v>
      </c>
      <c r="P7">
        <v>0</v>
      </c>
      <c r="Q7">
        <v>0</v>
      </c>
      <c r="R7">
        <v>0</v>
      </c>
      <c r="S7">
        <v>2</v>
      </c>
      <c r="T7">
        <v>1</v>
      </c>
      <c r="U7">
        <v>0</v>
      </c>
      <c r="V7">
        <v>10</v>
      </c>
      <c r="W7">
        <v>0</v>
      </c>
      <c r="X7">
        <v>0</v>
      </c>
      <c r="Y7">
        <v>0</v>
      </c>
      <c r="Z7">
        <v>0</v>
      </c>
    </row>
    <row r="8" spans="1:26" x14ac:dyDescent="0.25">
      <c r="A8" s="1" t="s">
        <v>120</v>
      </c>
      <c r="B8" t="s">
        <v>121</v>
      </c>
      <c r="C8" t="s">
        <v>122</v>
      </c>
      <c r="D8">
        <v>0</v>
      </c>
      <c r="E8">
        <v>0.35</v>
      </c>
      <c r="F8">
        <v>1.5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>
        <v>0</v>
      </c>
      <c r="P8">
        <v>0</v>
      </c>
      <c r="Q8">
        <v>0</v>
      </c>
      <c r="R8">
        <v>4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25">
      <c r="A9" s="1" t="s">
        <v>123</v>
      </c>
      <c r="B9" t="s">
        <v>124</v>
      </c>
      <c r="C9" t="s">
        <v>125</v>
      </c>
      <c r="D9">
        <v>3</v>
      </c>
      <c r="E9">
        <v>1.5</v>
      </c>
      <c r="F9">
        <v>1.6</v>
      </c>
      <c r="G9">
        <v>0</v>
      </c>
      <c r="H9">
        <v>1.9</v>
      </c>
      <c r="I9">
        <v>0.9</v>
      </c>
      <c r="J9">
        <v>0.15</v>
      </c>
      <c r="K9">
        <v>0</v>
      </c>
      <c r="L9">
        <v>0.4</v>
      </c>
      <c r="M9">
        <v>1</v>
      </c>
      <c r="N9">
        <v>0</v>
      </c>
      <c r="O9">
        <v>0</v>
      </c>
      <c r="P9">
        <v>8</v>
      </c>
      <c r="Q9">
        <v>0.6</v>
      </c>
      <c r="R9">
        <v>13</v>
      </c>
      <c r="S9">
        <v>0</v>
      </c>
      <c r="T9">
        <v>0</v>
      </c>
      <c r="U9">
        <v>0</v>
      </c>
      <c r="V9">
        <v>0</v>
      </c>
      <c r="W9">
        <v>0.5</v>
      </c>
      <c r="X9">
        <v>0.05</v>
      </c>
      <c r="Y9">
        <v>1.2</v>
      </c>
      <c r="Z9">
        <v>0</v>
      </c>
    </row>
    <row r="10" spans="1:26" x14ac:dyDescent="0.25">
      <c r="A10" s="1" t="s">
        <v>126</v>
      </c>
      <c r="B10" t="s">
        <v>127</v>
      </c>
      <c r="C10" t="s">
        <v>107</v>
      </c>
      <c r="D10">
        <v>14</v>
      </c>
      <c r="E10">
        <v>6</v>
      </c>
      <c r="F10">
        <v>1</v>
      </c>
      <c r="G10">
        <v>40</v>
      </c>
      <c r="H10">
        <v>1.5</v>
      </c>
      <c r="I10">
        <v>0.6</v>
      </c>
      <c r="J10">
        <v>0.15</v>
      </c>
      <c r="K10">
        <v>0</v>
      </c>
      <c r="L10">
        <v>0</v>
      </c>
      <c r="M10">
        <v>1</v>
      </c>
      <c r="N10">
        <v>0</v>
      </c>
      <c r="O10">
        <v>0</v>
      </c>
      <c r="P10">
        <v>9</v>
      </c>
      <c r="Q10">
        <v>0.8</v>
      </c>
      <c r="R10">
        <v>0</v>
      </c>
      <c r="S10">
        <v>1</v>
      </c>
      <c r="T10">
        <v>2</v>
      </c>
      <c r="U10">
        <v>1</v>
      </c>
      <c r="V10">
        <v>0</v>
      </c>
      <c r="W10">
        <v>0</v>
      </c>
      <c r="X10">
        <v>0</v>
      </c>
      <c r="Y10">
        <v>0</v>
      </c>
      <c r="Z10">
        <v>26</v>
      </c>
    </row>
    <row r="11" spans="1:26" x14ac:dyDescent="0.25">
      <c r="A11" s="1" t="s">
        <v>128</v>
      </c>
      <c r="B11" t="s">
        <v>129</v>
      </c>
      <c r="C11" t="s">
        <v>130</v>
      </c>
      <c r="D11">
        <v>12</v>
      </c>
      <c r="E11">
        <v>6</v>
      </c>
      <c r="F11">
        <v>1</v>
      </c>
      <c r="G11">
        <v>45</v>
      </c>
      <c r="H11">
        <v>3.8</v>
      </c>
      <c r="I11">
        <v>1.8</v>
      </c>
      <c r="J11">
        <v>0.35</v>
      </c>
      <c r="K11">
        <v>0</v>
      </c>
      <c r="L11">
        <v>2.4</v>
      </c>
      <c r="M11">
        <v>1</v>
      </c>
      <c r="N11">
        <v>20</v>
      </c>
      <c r="O11">
        <v>24</v>
      </c>
      <c r="P11">
        <v>1.8</v>
      </c>
      <c r="Q11">
        <v>0.2</v>
      </c>
      <c r="R11">
        <v>3</v>
      </c>
      <c r="S11">
        <v>1</v>
      </c>
      <c r="T11">
        <v>2</v>
      </c>
      <c r="U11">
        <v>0</v>
      </c>
      <c r="V11">
        <v>6</v>
      </c>
      <c r="W11">
        <v>3</v>
      </c>
      <c r="X11">
        <v>0.4</v>
      </c>
      <c r="Y11">
        <v>5.5</v>
      </c>
      <c r="Z11">
        <v>0</v>
      </c>
    </row>
    <row r="12" spans="1:26" x14ac:dyDescent="0.25">
      <c r="A12" s="1" t="s">
        <v>131</v>
      </c>
      <c r="B12" t="s">
        <v>132</v>
      </c>
      <c r="C12" t="s">
        <v>107</v>
      </c>
      <c r="D12">
        <v>12</v>
      </c>
      <c r="E12">
        <v>5</v>
      </c>
      <c r="F12">
        <v>1</v>
      </c>
      <c r="G12">
        <v>40</v>
      </c>
      <c r="H12">
        <v>1.4</v>
      </c>
      <c r="I12">
        <v>0.6</v>
      </c>
      <c r="J12">
        <v>0.15</v>
      </c>
      <c r="K12">
        <v>0</v>
      </c>
      <c r="L12">
        <v>0.5</v>
      </c>
      <c r="M12">
        <v>1</v>
      </c>
      <c r="N12">
        <v>0</v>
      </c>
      <c r="O12">
        <v>0</v>
      </c>
      <c r="P12">
        <v>10</v>
      </c>
      <c r="Q12">
        <v>1</v>
      </c>
      <c r="R12">
        <v>15</v>
      </c>
      <c r="S12">
        <v>1</v>
      </c>
      <c r="T12">
        <v>4</v>
      </c>
      <c r="U12">
        <v>0</v>
      </c>
      <c r="V12">
        <v>3</v>
      </c>
      <c r="W12">
        <v>1.4</v>
      </c>
      <c r="X12">
        <v>0</v>
      </c>
      <c r="Y12">
        <v>1.1</v>
      </c>
      <c r="Z12">
        <v>0</v>
      </c>
    </row>
    <row r="13" spans="1:26" x14ac:dyDescent="0.25">
      <c r="A13" s="1" t="s">
        <v>133</v>
      </c>
      <c r="B13" t="s">
        <v>134</v>
      </c>
      <c r="C13" t="s">
        <v>107</v>
      </c>
      <c r="D13">
        <v>8</v>
      </c>
      <c r="E13">
        <v>3</v>
      </c>
      <c r="F13">
        <v>1.3</v>
      </c>
      <c r="G13">
        <v>0</v>
      </c>
      <c r="H13">
        <v>1.4</v>
      </c>
      <c r="I13">
        <v>0</v>
      </c>
      <c r="J13">
        <v>0</v>
      </c>
      <c r="K13">
        <v>0.1</v>
      </c>
      <c r="L13">
        <v>0</v>
      </c>
      <c r="M13">
        <v>1.3</v>
      </c>
      <c r="N13">
        <v>24</v>
      </c>
      <c r="O13">
        <v>0</v>
      </c>
      <c r="P13">
        <v>0</v>
      </c>
      <c r="Q13">
        <v>0</v>
      </c>
      <c r="R13">
        <v>0</v>
      </c>
      <c r="S13">
        <v>1</v>
      </c>
      <c r="T13">
        <v>4</v>
      </c>
      <c r="U13">
        <v>0</v>
      </c>
      <c r="V13">
        <v>3</v>
      </c>
      <c r="W13">
        <v>1.3</v>
      </c>
      <c r="X13">
        <v>0</v>
      </c>
      <c r="Y13">
        <v>0</v>
      </c>
      <c r="Z13">
        <v>26</v>
      </c>
    </row>
    <row r="14" spans="1:26" x14ac:dyDescent="0.25">
      <c r="A14" s="1" t="s">
        <v>135</v>
      </c>
      <c r="B14" t="s">
        <v>136</v>
      </c>
      <c r="C14" t="s">
        <v>137</v>
      </c>
      <c r="D14">
        <v>9</v>
      </c>
      <c r="E14">
        <v>4</v>
      </c>
      <c r="F14">
        <v>1.5</v>
      </c>
      <c r="G14">
        <v>0</v>
      </c>
      <c r="H14">
        <v>2.6</v>
      </c>
      <c r="I14">
        <v>1.4</v>
      </c>
      <c r="J14">
        <v>0.2</v>
      </c>
      <c r="K14">
        <v>0</v>
      </c>
      <c r="L14">
        <v>2.2</v>
      </c>
      <c r="M14">
        <v>1</v>
      </c>
      <c r="N14">
        <v>0</v>
      </c>
      <c r="O14">
        <v>0</v>
      </c>
      <c r="P14">
        <v>8</v>
      </c>
      <c r="Q14">
        <v>0.8</v>
      </c>
      <c r="R14">
        <v>17</v>
      </c>
      <c r="S14">
        <v>0</v>
      </c>
      <c r="T14">
        <v>0</v>
      </c>
      <c r="U14">
        <v>0</v>
      </c>
      <c r="V14">
        <v>0</v>
      </c>
      <c r="W14">
        <v>0.45</v>
      </c>
      <c r="X14">
        <v>0</v>
      </c>
      <c r="Y14">
        <v>0</v>
      </c>
      <c r="Z14">
        <v>0</v>
      </c>
    </row>
    <row r="15" spans="1:26" x14ac:dyDescent="0.25">
      <c r="A15" s="1" t="s">
        <v>138</v>
      </c>
      <c r="B15" t="s">
        <v>139</v>
      </c>
      <c r="C15" t="s">
        <v>140</v>
      </c>
      <c r="D15">
        <v>10</v>
      </c>
      <c r="E15">
        <v>4</v>
      </c>
      <c r="F15">
        <v>1.4</v>
      </c>
      <c r="G15">
        <v>0</v>
      </c>
      <c r="H15">
        <v>3</v>
      </c>
      <c r="I15">
        <v>1.2</v>
      </c>
      <c r="J15">
        <v>0.3</v>
      </c>
      <c r="K15">
        <v>0</v>
      </c>
      <c r="L15">
        <v>0</v>
      </c>
      <c r="M15">
        <v>1</v>
      </c>
      <c r="N15">
        <v>22</v>
      </c>
      <c r="O15">
        <v>0</v>
      </c>
      <c r="P15">
        <v>0</v>
      </c>
      <c r="Q15">
        <v>0</v>
      </c>
      <c r="R15">
        <v>7</v>
      </c>
      <c r="S15">
        <v>0</v>
      </c>
      <c r="T15">
        <v>0</v>
      </c>
      <c r="U15">
        <v>0</v>
      </c>
      <c r="V15">
        <v>0</v>
      </c>
      <c r="W15">
        <v>2.2</v>
      </c>
      <c r="X15">
        <v>0.4</v>
      </c>
      <c r="Y15">
        <v>0</v>
      </c>
      <c r="Z15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6" width="13" customWidth="1"/>
  </cols>
  <sheetData>
    <row r="1" spans="1:6" x14ac:dyDescent="0.25">
      <c r="A1" s="2" t="s">
        <v>6</v>
      </c>
      <c r="B1" s="3" t="s">
        <v>7</v>
      </c>
      <c r="C1" s="3" t="s">
        <v>141</v>
      </c>
      <c r="D1" s="3" t="s">
        <v>142</v>
      </c>
      <c r="E1" s="3" t="s">
        <v>143</v>
      </c>
      <c r="F1" s="3" t="s">
        <v>144</v>
      </c>
    </row>
    <row r="2" ht="78" customHeight="1" spans="1:6" x14ac:dyDescent="0.25">
      <c r="A2" s="4" t="s">
        <v>145</v>
      </c>
      <c r="B2" s="5" t="s">
        <v>81</v>
      </c>
      <c r="C2" s="5" t="s">
        <v>146</v>
      </c>
      <c r="D2" s="5" t="s">
        <v>147</v>
      </c>
      <c r="E2" s="5" t="s">
        <v>148</v>
      </c>
      <c r="F2" s="5" t="s">
        <v>149</v>
      </c>
    </row>
    <row r="3" spans="1:6" x14ac:dyDescent="0.25">
      <c r="A3" s="1" t="s">
        <v>150</v>
      </c>
      <c r="B3" t="s">
        <v>151</v>
      </c>
      <c r="C3">
        <v>6</v>
      </c>
      <c r="D3">
        <v>0.3</v>
      </c>
      <c r="E3">
        <v>0</v>
      </c>
      <c r="F3">
        <v>0</v>
      </c>
    </row>
    <row r="4" spans="1:6" x14ac:dyDescent="0.25">
      <c r="A4" s="1" t="s">
        <v>152</v>
      </c>
      <c r="B4" t="s">
        <v>153</v>
      </c>
      <c r="C4">
        <v>0</v>
      </c>
      <c r="D4">
        <v>0.12</v>
      </c>
      <c r="E4">
        <v>0</v>
      </c>
      <c r="F4">
        <v>0</v>
      </c>
    </row>
    <row r="5" spans="1:6" x14ac:dyDescent="0.25">
      <c r="A5" s="1" t="s">
        <v>154</v>
      </c>
      <c r="B5" t="s">
        <v>155</v>
      </c>
      <c r="C5">
        <v>0</v>
      </c>
      <c r="D5">
        <v>0.06</v>
      </c>
      <c r="E5">
        <v>14</v>
      </c>
      <c r="F5">
        <v>0.25</v>
      </c>
    </row>
    <row r="6" spans="1:6" x14ac:dyDescent="0.25">
      <c r="A6" s="1" t="s">
        <v>156</v>
      </c>
      <c r="B6" t="s">
        <v>157</v>
      </c>
      <c r="C6">
        <v>0</v>
      </c>
      <c r="D6">
        <v>20</v>
      </c>
      <c r="E6">
        <v>1</v>
      </c>
      <c r="F6">
        <v>0.5</v>
      </c>
    </row>
    <row r="7" spans="1:6" x14ac:dyDescent="0.25">
      <c r="A7" s="1" t="s">
        <v>158</v>
      </c>
      <c r="B7" t="s">
        <v>159</v>
      </c>
      <c r="C7">
        <v>0</v>
      </c>
      <c r="D7">
        <v>0.92</v>
      </c>
      <c r="E7">
        <v>0</v>
      </c>
      <c r="F7">
        <v>0</v>
      </c>
    </row>
    <row r="8" spans="1:6" x14ac:dyDescent="0.25">
      <c r="A8" s="1" t="s">
        <v>160</v>
      </c>
      <c r="B8" t="s">
        <v>161</v>
      </c>
      <c r="C8">
        <v>0</v>
      </c>
      <c r="D8">
        <v>0.92</v>
      </c>
      <c r="E8">
        <v>0</v>
      </c>
      <c r="F8">
        <v>0.1</v>
      </c>
    </row>
    <row r="9" spans="1:6" x14ac:dyDescent="0.25">
      <c r="A9" s="1" t="s">
        <v>162</v>
      </c>
      <c r="B9" t="s">
        <v>163</v>
      </c>
      <c r="C9">
        <v>0</v>
      </c>
      <c r="D9">
        <v>0.08</v>
      </c>
      <c r="E9">
        <v>0</v>
      </c>
      <c r="F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0" width="13" customWidth="1"/>
  </cols>
  <sheetData>
    <row r="1" spans="1:10" x14ac:dyDescent="0.25">
      <c r="A1" s="2" t="s">
        <v>6</v>
      </c>
      <c r="B1" s="3" t="s">
        <v>7</v>
      </c>
      <c r="C1" s="3" t="s">
        <v>164</v>
      </c>
      <c r="D1" s="3" t="s">
        <v>9</v>
      </c>
      <c r="E1" s="3" t="s">
        <v>10</v>
      </c>
      <c r="F1" s="3" t="s">
        <v>165</v>
      </c>
      <c r="G1" s="3" t="s">
        <v>166</v>
      </c>
      <c r="H1" s="3" t="s">
        <v>167</v>
      </c>
      <c r="I1" s="3" t="s">
        <v>168</v>
      </c>
      <c r="J1" s="3" t="s">
        <v>169</v>
      </c>
    </row>
    <row r="2" ht="78" customHeight="1" spans="1:10" x14ac:dyDescent="0.25">
      <c r="A2" s="4" t="s">
        <v>145</v>
      </c>
      <c r="B2" s="5" t="s">
        <v>81</v>
      </c>
      <c r="C2" s="5" t="s">
        <v>170</v>
      </c>
      <c r="D2" s="5" t="s">
        <v>171</v>
      </c>
      <c r="E2" s="5" t="s">
        <v>21</v>
      </c>
      <c r="F2" s="5" t="s">
        <v>172</v>
      </c>
      <c r="G2" s="5" t="s">
        <v>173</v>
      </c>
      <c r="H2" s="5" t="s">
        <v>174</v>
      </c>
      <c r="I2" s="5" t="s">
        <v>175</v>
      </c>
      <c r="J2" s="5" t="s">
        <v>176</v>
      </c>
    </row>
    <row r="3" spans="1:10" x14ac:dyDescent="0.25">
      <c r="A3" s="1" t="s">
        <v>177</v>
      </c>
      <c r="B3" t="s">
        <v>178</v>
      </c>
      <c r="C3">
        <v>0</v>
      </c>
      <c r="D3">
        <v>150</v>
      </c>
      <c r="E3">
        <v>15</v>
      </c>
      <c r="F3">
        <v>32</v>
      </c>
      <c r="G3">
        <v>3.2</v>
      </c>
      <c r="H3">
        <v>10</v>
      </c>
      <c r="I3">
        <v>3</v>
      </c>
      <c r="J3">
        <v>1</v>
      </c>
    </row>
    <row r="4" spans="1:10" x14ac:dyDescent="0.25">
      <c r="A4" s="1" t="s">
        <v>179</v>
      </c>
      <c r="B4" t="s">
        <v>180</v>
      </c>
      <c r="C4">
        <v>400</v>
      </c>
      <c r="D4">
        <v>220</v>
      </c>
      <c r="E4">
        <v>12.5</v>
      </c>
      <c r="F4">
        <v>26</v>
      </c>
      <c r="G4">
        <v>2.7</v>
      </c>
      <c r="H4">
        <v>12</v>
      </c>
      <c r="I4">
        <v>4.5</v>
      </c>
      <c r="J4">
        <v>1.8</v>
      </c>
    </row>
    <row r="5" spans="1:10" x14ac:dyDescent="0.25">
      <c r="A5" s="1" t="s">
        <v>181</v>
      </c>
      <c r="B5" t="s">
        <v>182</v>
      </c>
      <c r="C5">
        <v>550</v>
      </c>
      <c r="D5">
        <v>110</v>
      </c>
      <c r="E5">
        <v>19</v>
      </c>
      <c r="F5">
        <v>40</v>
      </c>
      <c r="G5">
        <v>3.6</v>
      </c>
      <c r="H5">
        <v>14</v>
      </c>
      <c r="I5">
        <v>2.4</v>
      </c>
      <c r="J5">
        <v>0.8</v>
      </c>
    </row>
    <row r="6" spans="1:10" x14ac:dyDescent="0.25">
      <c r="A6" s="1" t="s">
        <v>183</v>
      </c>
      <c r="B6" t="s">
        <v>184</v>
      </c>
      <c r="C6">
        <v>800</v>
      </c>
      <c r="D6">
        <v>300</v>
      </c>
      <c r="E6">
        <v>10</v>
      </c>
      <c r="F6">
        <v>18</v>
      </c>
      <c r="G6">
        <v>2.3</v>
      </c>
      <c r="H6">
        <v>18</v>
      </c>
      <c r="I6">
        <v>5.5</v>
      </c>
      <c r="J6">
        <v>2.6</v>
      </c>
    </row>
    <row r="7" spans="1:10" x14ac:dyDescent="0.25">
      <c r="A7" s="1" t="s">
        <v>185</v>
      </c>
      <c r="B7" t="s">
        <v>186</v>
      </c>
      <c r="C7">
        <v>650</v>
      </c>
      <c r="D7">
        <v>85</v>
      </c>
      <c r="E7">
        <v>21</v>
      </c>
      <c r="F7">
        <v>48</v>
      </c>
      <c r="G7">
        <v>4.2</v>
      </c>
      <c r="H7">
        <v>6</v>
      </c>
      <c r="I7">
        <v>1.8</v>
      </c>
      <c r="J7">
        <v>0.55</v>
      </c>
    </row>
    <row r="8" spans="1:10" x14ac:dyDescent="0.25">
      <c r="A8" s="1" t="s">
        <v>187</v>
      </c>
      <c r="B8" t="s">
        <v>188</v>
      </c>
      <c r="C8">
        <v>700</v>
      </c>
      <c r="D8">
        <v>120</v>
      </c>
      <c r="E8">
        <v>20</v>
      </c>
      <c r="F8">
        <v>38</v>
      </c>
      <c r="G8">
        <v>3.8</v>
      </c>
      <c r="H8">
        <v>8</v>
      </c>
      <c r="I8">
        <v>4</v>
      </c>
      <c r="J8">
        <v>1.2</v>
      </c>
    </row>
    <row r="9" spans="1:10" x14ac:dyDescent="0.25">
      <c r="A9" s="1" t="s">
        <v>133</v>
      </c>
      <c r="B9" t="s">
        <v>189</v>
      </c>
      <c r="C9">
        <v>650</v>
      </c>
      <c r="D9">
        <v>180</v>
      </c>
      <c r="E9">
        <v>13</v>
      </c>
      <c r="F9">
        <v>24</v>
      </c>
      <c r="G9">
        <v>2.8</v>
      </c>
      <c r="H9">
        <v>11</v>
      </c>
      <c r="I9">
        <v>3</v>
      </c>
      <c r="J9">
        <v>1.4</v>
      </c>
    </row>
    <row r="10" spans="1:10" x14ac:dyDescent="0.25">
      <c r="A10" s="1" t="s">
        <v>190</v>
      </c>
      <c r="B10" t="s">
        <v>191</v>
      </c>
      <c r="C10">
        <v>900</v>
      </c>
      <c r="D10">
        <v>280</v>
      </c>
      <c r="E10">
        <v>11</v>
      </c>
      <c r="F10">
        <v>20</v>
      </c>
      <c r="G10">
        <v>2.4</v>
      </c>
      <c r="H10">
        <v>14</v>
      </c>
      <c r="I10">
        <v>4</v>
      </c>
      <c r="J10">
        <v>2.2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4" width="13" customWidth="1"/>
  </cols>
  <sheetData>
    <row r="1" spans="1:14" x14ac:dyDescent="0.25">
      <c r="A1" s="2" t="s">
        <v>6</v>
      </c>
      <c r="B1" s="3" t="s">
        <v>7</v>
      </c>
      <c r="C1" s="3" t="s">
        <v>164</v>
      </c>
      <c r="D1" s="3" t="s">
        <v>192</v>
      </c>
      <c r="E1" s="3" t="s">
        <v>193</v>
      </c>
      <c r="F1" s="3" t="s">
        <v>194</v>
      </c>
      <c r="G1" s="3" t="s">
        <v>195</v>
      </c>
      <c r="H1" s="3" t="s">
        <v>196</v>
      </c>
      <c r="I1" s="3" t="s">
        <v>197</v>
      </c>
      <c r="J1" s="3" t="s">
        <v>198</v>
      </c>
      <c r="K1" s="3" t="s">
        <v>199</v>
      </c>
      <c r="L1" s="3" t="s">
        <v>200</v>
      </c>
      <c r="M1" s="3" t="s">
        <v>201</v>
      </c>
      <c r="N1" s="3" t="s">
        <v>202</v>
      </c>
    </row>
    <row r="2" ht="78" customHeight="1" spans="1:14" x14ac:dyDescent="0.25">
      <c r="A2" s="4" t="s">
        <v>145</v>
      </c>
      <c r="B2" s="5" t="s">
        <v>81</v>
      </c>
      <c r="C2" s="5" t="s">
        <v>203</v>
      </c>
      <c r="D2" s="5" t="s">
        <v>204</v>
      </c>
      <c r="E2" s="5" t="s">
        <v>205</v>
      </c>
      <c r="F2" s="5" t="s">
        <v>206</v>
      </c>
      <c r="G2" s="5" t="s">
        <v>207</v>
      </c>
      <c r="H2" s="5" t="s">
        <v>208</v>
      </c>
      <c r="I2" s="5" t="s">
        <v>209</v>
      </c>
      <c r="J2" s="5" t="s">
        <v>210</v>
      </c>
      <c r="K2" s="5" t="s">
        <v>211</v>
      </c>
      <c r="L2" s="5" t="s">
        <v>212</v>
      </c>
      <c r="M2" s="5" t="s">
        <v>213</v>
      </c>
      <c r="N2" s="5" t="s">
        <v>214</v>
      </c>
    </row>
    <row r="3" spans="1:14" x14ac:dyDescent="0.25">
      <c r="A3" s="1" t="s">
        <v>215</v>
      </c>
      <c r="B3" t="s">
        <v>216</v>
      </c>
      <c r="C3">
        <v>0</v>
      </c>
      <c r="D3">
        <v>1.1</v>
      </c>
      <c r="E3">
        <v>10</v>
      </c>
      <c r="F3">
        <v>0.9</v>
      </c>
      <c r="G3">
        <v>0</v>
      </c>
      <c r="H3">
        <v>1</v>
      </c>
      <c r="I3">
        <v>0</v>
      </c>
      <c r="J3">
        <v>1</v>
      </c>
      <c r="K3">
        <v>1</v>
      </c>
      <c r="L3">
        <v>1</v>
      </c>
      <c r="M3">
        <v>1</v>
      </c>
      <c r="N3" t="s">
        <v>105</v>
      </c>
    </row>
    <row r="4" spans="1:14" x14ac:dyDescent="0.25">
      <c r="A4" s="1" t="s">
        <v>217</v>
      </c>
      <c r="B4" t="s">
        <v>218</v>
      </c>
      <c r="C4">
        <v>450</v>
      </c>
      <c r="D4">
        <v>1</v>
      </c>
      <c r="E4">
        <v>-20</v>
      </c>
      <c r="F4">
        <v>1.25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 t="s">
        <v>105</v>
      </c>
    </row>
    <row r="5" spans="1:14" x14ac:dyDescent="0.25">
      <c r="A5" s="1" t="s">
        <v>35</v>
      </c>
      <c r="B5" t="s">
        <v>219</v>
      </c>
      <c r="C5">
        <v>650</v>
      </c>
      <c r="D5">
        <v>1</v>
      </c>
      <c r="E5">
        <v>0</v>
      </c>
      <c r="F5">
        <v>1</v>
      </c>
      <c r="G5">
        <v>0</v>
      </c>
      <c r="H5">
        <v>0.88</v>
      </c>
      <c r="I5">
        <v>0</v>
      </c>
      <c r="J5">
        <v>0.92</v>
      </c>
      <c r="K5">
        <v>1</v>
      </c>
      <c r="L5">
        <v>1</v>
      </c>
      <c r="M5">
        <v>1</v>
      </c>
      <c r="N5" t="s">
        <v>117</v>
      </c>
    </row>
    <row r="6" spans="1:14" x14ac:dyDescent="0.25">
      <c r="A6" s="1" t="s">
        <v>220</v>
      </c>
      <c r="B6" t="s">
        <v>221</v>
      </c>
      <c r="C6">
        <v>0</v>
      </c>
      <c r="D6">
        <v>1</v>
      </c>
      <c r="E6">
        <v>40</v>
      </c>
      <c r="F6">
        <v>1</v>
      </c>
      <c r="G6">
        <v>0</v>
      </c>
      <c r="H6">
        <v>1</v>
      </c>
      <c r="I6">
        <v>0</v>
      </c>
      <c r="J6">
        <v>1</v>
      </c>
      <c r="K6">
        <v>1.25</v>
      </c>
      <c r="L6">
        <v>1.1</v>
      </c>
      <c r="M6">
        <v>1</v>
      </c>
      <c r="N6" t="s">
        <v>105</v>
      </c>
    </row>
    <row r="7" spans="1:14" x14ac:dyDescent="0.25">
      <c r="A7" s="1" t="s">
        <v>222</v>
      </c>
      <c r="B7" t="s">
        <v>223</v>
      </c>
      <c r="C7">
        <v>0</v>
      </c>
      <c r="D7">
        <v>1</v>
      </c>
      <c r="E7">
        <v>0</v>
      </c>
      <c r="F7">
        <v>1</v>
      </c>
      <c r="G7">
        <v>0</v>
      </c>
      <c r="H7">
        <v>1</v>
      </c>
      <c r="I7">
        <v>-0.1</v>
      </c>
      <c r="J7">
        <v>1.06</v>
      </c>
      <c r="K7">
        <v>1</v>
      </c>
      <c r="L7">
        <v>1</v>
      </c>
      <c r="M7">
        <v>1.15</v>
      </c>
      <c r="N7" t="s">
        <v>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3" customWidth="1"/>
    <col min="3" max="3" width="26" customWidth="1"/>
    <col min="4" max="14" width="13" customWidth="1"/>
  </cols>
  <sheetData>
    <row r="1" spans="1:14" x14ac:dyDescent="0.25">
      <c r="A1" s="2" t="s">
        <v>6</v>
      </c>
      <c r="B1" s="3" t="s">
        <v>8</v>
      </c>
      <c r="C1" s="3" t="s">
        <v>7</v>
      </c>
      <c r="D1" s="3" t="s">
        <v>224</v>
      </c>
      <c r="E1" s="3" t="s">
        <v>225</v>
      </c>
      <c r="F1" s="3" t="s">
        <v>226</v>
      </c>
      <c r="G1" s="3" t="s">
        <v>227</v>
      </c>
      <c r="H1" s="3" t="s">
        <v>228</v>
      </c>
      <c r="I1" s="3" t="s">
        <v>229</v>
      </c>
      <c r="J1" s="3" t="s">
        <v>230</v>
      </c>
      <c r="K1" s="3" t="s">
        <v>231</v>
      </c>
      <c r="L1" s="3" t="s">
        <v>232</v>
      </c>
      <c r="M1" s="3" t="s">
        <v>233</v>
      </c>
      <c r="N1" s="3" t="s">
        <v>234</v>
      </c>
    </row>
    <row r="2" ht="78" customHeight="1" spans="1:14" x14ac:dyDescent="0.25">
      <c r="A2" s="4" t="s">
        <v>145</v>
      </c>
      <c r="B2" s="5" t="s">
        <v>235</v>
      </c>
      <c r="C2" s="5" t="s">
        <v>81</v>
      </c>
      <c r="D2" s="5" t="s">
        <v>236</v>
      </c>
      <c r="E2" s="5" t="s">
        <v>237</v>
      </c>
      <c r="F2" s="5" t="s">
        <v>238</v>
      </c>
      <c r="G2" s="5" t="s">
        <v>239</v>
      </c>
      <c r="H2" s="5" t="s">
        <v>240</v>
      </c>
      <c r="I2" s="5" t="s">
        <v>241</v>
      </c>
      <c r="J2" s="5" t="s">
        <v>242</v>
      </c>
      <c r="K2" s="5" t="s">
        <v>243</v>
      </c>
      <c r="L2" s="5" t="s">
        <v>244</v>
      </c>
      <c r="M2" s="5" t="s">
        <v>245</v>
      </c>
      <c r="N2" s="5" t="s">
        <v>246</v>
      </c>
    </row>
    <row r="3" spans="1:14" x14ac:dyDescent="0.25">
      <c r="A3" s="1" t="s">
        <v>247</v>
      </c>
      <c r="B3" t="s">
        <v>248</v>
      </c>
      <c r="C3" t="s">
        <v>249</v>
      </c>
      <c r="D3">
        <v>10</v>
      </c>
      <c r="E3">
        <v>20</v>
      </c>
      <c r="F3">
        <v>40</v>
      </c>
      <c r="G3">
        <v>60</v>
      </c>
      <c r="H3">
        <v>80</v>
      </c>
      <c r="I3">
        <v>100</v>
      </c>
      <c r="J3">
        <v>180</v>
      </c>
      <c r="K3">
        <v>275</v>
      </c>
      <c r="L3">
        <v>385</v>
      </c>
      <c r="M3">
        <v>515</v>
      </c>
      <c r="N3">
        <v>660</v>
      </c>
    </row>
    <row r="4" spans="1:14" x14ac:dyDescent="0.25">
      <c r="A4" s="1" t="s">
        <v>250</v>
      </c>
      <c r="B4" t="s">
        <v>248</v>
      </c>
      <c r="C4" t="s">
        <v>251</v>
      </c>
      <c r="D4">
        <v>0.1</v>
      </c>
      <c r="E4">
        <v>20</v>
      </c>
      <c r="F4">
        <v>40</v>
      </c>
      <c r="G4">
        <v>60</v>
      </c>
      <c r="H4">
        <v>80</v>
      </c>
      <c r="I4">
        <v>100</v>
      </c>
      <c r="J4">
        <v>180</v>
      </c>
      <c r="K4">
        <v>275</v>
      </c>
      <c r="L4">
        <v>385</v>
      </c>
      <c r="M4">
        <v>515</v>
      </c>
      <c r="N4">
        <v>660</v>
      </c>
    </row>
    <row r="5" spans="1:14" x14ac:dyDescent="0.25">
      <c r="A5" s="1" t="s">
        <v>252</v>
      </c>
      <c r="B5" t="s">
        <v>248</v>
      </c>
      <c r="C5" t="s">
        <v>253</v>
      </c>
      <c r="D5">
        <v>0.04</v>
      </c>
      <c r="E5">
        <v>20</v>
      </c>
      <c r="F5">
        <v>40</v>
      </c>
      <c r="G5">
        <v>60</v>
      </c>
      <c r="H5">
        <v>80</v>
      </c>
      <c r="I5">
        <v>100</v>
      </c>
      <c r="J5">
        <v>180</v>
      </c>
      <c r="K5">
        <v>275</v>
      </c>
      <c r="L5">
        <v>385</v>
      </c>
      <c r="M5">
        <v>515</v>
      </c>
      <c r="N5">
        <v>660</v>
      </c>
    </row>
    <row r="6" spans="1:14" x14ac:dyDescent="0.25">
      <c r="A6" s="1" t="s">
        <v>254</v>
      </c>
      <c r="B6" t="s">
        <v>248</v>
      </c>
      <c r="C6" t="s">
        <v>255</v>
      </c>
      <c r="D6">
        <v>0.1</v>
      </c>
      <c r="E6">
        <v>20</v>
      </c>
      <c r="F6">
        <v>40</v>
      </c>
      <c r="G6">
        <v>60</v>
      </c>
      <c r="H6">
        <v>80</v>
      </c>
      <c r="I6">
        <v>100</v>
      </c>
      <c r="J6">
        <v>180</v>
      </c>
      <c r="K6">
        <v>275</v>
      </c>
      <c r="L6">
        <v>385</v>
      </c>
      <c r="M6">
        <v>515</v>
      </c>
      <c r="N6">
        <v>660</v>
      </c>
    </row>
    <row r="7" spans="1:14" x14ac:dyDescent="0.25">
      <c r="A7" s="1" t="s">
        <v>256</v>
      </c>
      <c r="B7" t="s">
        <v>248</v>
      </c>
      <c r="C7" t="s">
        <v>257</v>
      </c>
      <c r="D7">
        <v>0.02</v>
      </c>
      <c r="E7">
        <v>20</v>
      </c>
      <c r="F7">
        <v>40</v>
      </c>
      <c r="G7">
        <v>60</v>
      </c>
      <c r="H7">
        <v>80</v>
      </c>
      <c r="I7">
        <v>100</v>
      </c>
      <c r="J7">
        <v>180</v>
      </c>
      <c r="K7">
        <v>275</v>
      </c>
      <c r="L7">
        <v>385</v>
      </c>
      <c r="M7">
        <v>515</v>
      </c>
      <c r="N7">
        <v>660</v>
      </c>
    </row>
    <row r="8" spans="1:14" x14ac:dyDescent="0.25">
      <c r="A8" s="1" t="s">
        <v>258</v>
      </c>
      <c r="B8" t="s">
        <v>248</v>
      </c>
      <c r="C8" t="s">
        <v>259</v>
      </c>
      <c r="D8">
        <v>0.1</v>
      </c>
      <c r="E8">
        <v>20</v>
      </c>
      <c r="F8">
        <v>40</v>
      </c>
      <c r="G8">
        <v>60</v>
      </c>
      <c r="H8">
        <v>80</v>
      </c>
      <c r="I8">
        <v>100</v>
      </c>
      <c r="J8">
        <v>180</v>
      </c>
      <c r="K8">
        <v>275</v>
      </c>
      <c r="L8">
        <v>385</v>
      </c>
      <c r="M8">
        <v>515</v>
      </c>
      <c r="N8">
        <v>660</v>
      </c>
    </row>
    <row r="9" spans="1:14" x14ac:dyDescent="0.25">
      <c r="A9" s="1" t="s">
        <v>260</v>
      </c>
      <c r="B9" t="s">
        <v>248</v>
      </c>
      <c r="C9" t="s">
        <v>261</v>
      </c>
      <c r="D9">
        <v>0.06</v>
      </c>
      <c r="E9">
        <v>20</v>
      </c>
      <c r="F9">
        <v>40</v>
      </c>
      <c r="G9">
        <v>60</v>
      </c>
      <c r="H9">
        <v>80</v>
      </c>
      <c r="I9">
        <v>100</v>
      </c>
      <c r="J9">
        <v>180</v>
      </c>
      <c r="K9">
        <v>275</v>
      </c>
      <c r="L9">
        <v>385</v>
      </c>
      <c r="M9">
        <v>515</v>
      </c>
      <c r="N9">
        <v>660</v>
      </c>
    </row>
    <row r="10" spans="1:14" x14ac:dyDescent="0.25">
      <c r="A10" s="1" t="s">
        <v>262</v>
      </c>
      <c r="B10" t="s">
        <v>248</v>
      </c>
      <c r="C10" t="s">
        <v>263</v>
      </c>
      <c r="D10">
        <v>0.08</v>
      </c>
      <c r="E10">
        <v>20</v>
      </c>
      <c r="F10">
        <v>40</v>
      </c>
      <c r="G10">
        <v>60</v>
      </c>
      <c r="H10">
        <v>80</v>
      </c>
      <c r="I10">
        <v>100</v>
      </c>
      <c r="J10">
        <v>180</v>
      </c>
      <c r="K10">
        <v>275</v>
      </c>
      <c r="L10">
        <v>385</v>
      </c>
      <c r="M10">
        <v>515</v>
      </c>
      <c r="N10">
        <v>660</v>
      </c>
    </row>
    <row r="11" spans="1:14" x14ac:dyDescent="0.25">
      <c r="A11" s="1" t="s">
        <v>264</v>
      </c>
      <c r="B11" t="s">
        <v>248</v>
      </c>
      <c r="C11" t="s">
        <v>265</v>
      </c>
      <c r="D11">
        <v>0.02</v>
      </c>
      <c r="E11">
        <v>25</v>
      </c>
      <c r="F11">
        <v>50</v>
      </c>
      <c r="G11">
        <v>75</v>
      </c>
      <c r="H11">
        <v>100</v>
      </c>
      <c r="I11">
        <v>125</v>
      </c>
      <c r="J11">
        <v>225</v>
      </c>
      <c r="K11">
        <v>345</v>
      </c>
      <c r="L11">
        <v>480</v>
      </c>
      <c r="M11">
        <v>645</v>
      </c>
      <c r="N11">
        <v>825</v>
      </c>
    </row>
    <row r="12" spans="1:14" x14ac:dyDescent="0.25">
      <c r="A12" s="1" t="s">
        <v>13</v>
      </c>
      <c r="B12" t="s">
        <v>248</v>
      </c>
      <c r="C12" t="s">
        <v>266</v>
      </c>
      <c r="D12">
        <v>0.05</v>
      </c>
      <c r="E12">
        <v>80</v>
      </c>
      <c r="F12">
        <v>180</v>
      </c>
      <c r="G12">
        <v>320</v>
      </c>
      <c r="H12">
        <v>500</v>
      </c>
    </row>
    <row r="13" spans="1:14" x14ac:dyDescent="0.25">
      <c r="A13" s="1" t="s">
        <v>267</v>
      </c>
      <c r="B13" t="s">
        <v>248</v>
      </c>
      <c r="C13" t="s">
        <v>268</v>
      </c>
      <c r="D13">
        <v>0</v>
      </c>
      <c r="E13">
        <v>100</v>
      </c>
      <c r="F13">
        <v>250</v>
      </c>
      <c r="G13">
        <v>450</v>
      </c>
    </row>
    <row r="14" spans="1:14" x14ac:dyDescent="0.25">
      <c r="A14" s="1" t="s">
        <v>269</v>
      </c>
      <c r="B14" t="s">
        <v>248</v>
      </c>
      <c r="C14" t="s">
        <v>270</v>
      </c>
      <c r="D14">
        <v>0</v>
      </c>
      <c r="E14">
        <v>500</v>
      </c>
    </row>
    <row r="15" spans="1:14" x14ac:dyDescent="0.25">
      <c r="A15" s="1" t="s">
        <v>271</v>
      </c>
      <c r="B15" t="s">
        <v>248</v>
      </c>
      <c r="C15" t="s">
        <v>272</v>
      </c>
      <c r="D15">
        <v>0</v>
      </c>
      <c r="E15">
        <v>600</v>
      </c>
      <c r="F15">
        <v>1800</v>
      </c>
    </row>
    <row r="16" spans="1:14" x14ac:dyDescent="0.25">
      <c r="A16" s="1" t="s">
        <v>273</v>
      </c>
      <c r="B16" t="s">
        <v>248</v>
      </c>
      <c r="C16" t="s">
        <v>274</v>
      </c>
      <c r="D16">
        <v>0</v>
      </c>
      <c r="E16">
        <v>2200</v>
      </c>
    </row>
    <row r="17" spans="1:14" x14ac:dyDescent="0.25">
      <c r="A17" s="1" t="s">
        <v>275</v>
      </c>
      <c r="B17" t="s">
        <v>276</v>
      </c>
      <c r="C17" t="s">
        <v>277</v>
      </c>
      <c r="D17">
        <v>0</v>
      </c>
      <c r="E17">
        <v>700</v>
      </c>
    </row>
    <row r="18" spans="1:14" x14ac:dyDescent="0.25">
      <c r="A18" s="1" t="s">
        <v>278</v>
      </c>
      <c r="B18" t="s">
        <v>276</v>
      </c>
      <c r="C18" t="s">
        <v>279</v>
      </c>
      <c r="D18">
        <v>0</v>
      </c>
      <c r="E18">
        <v>1000</v>
      </c>
    </row>
    <row r="19" spans="1:14" x14ac:dyDescent="0.25">
      <c r="A19" s="1" t="s">
        <v>280</v>
      </c>
      <c r="B19" t="s">
        <v>281</v>
      </c>
      <c r="C19" t="s">
        <v>282</v>
      </c>
      <c r="D19">
        <v>0</v>
      </c>
      <c r="E19">
        <v>60</v>
      </c>
    </row>
    <row r="20" spans="1:14" x14ac:dyDescent="0.25">
      <c r="A20" s="1" t="s">
        <v>283</v>
      </c>
      <c r="B20" t="s">
        <v>281</v>
      </c>
      <c r="C20" t="s">
        <v>284</v>
      </c>
      <c r="D20">
        <v>0</v>
      </c>
      <c r="E20">
        <v>110</v>
      </c>
    </row>
    <row r="21" spans="1:14" x14ac:dyDescent="0.25">
      <c r="A21" s="1" t="s">
        <v>285</v>
      </c>
      <c r="B21" t="s">
        <v>281</v>
      </c>
      <c r="C21" t="s">
        <v>286</v>
      </c>
      <c r="D21">
        <v>0</v>
      </c>
      <c r="E21">
        <v>40</v>
      </c>
    </row>
    <row r="22" spans="1:14" x14ac:dyDescent="0.25">
      <c r="A22" s="1" t="s">
        <v>287</v>
      </c>
      <c r="B22" t="s">
        <v>281</v>
      </c>
      <c r="C22" t="s">
        <v>288</v>
      </c>
      <c r="D22">
        <v>0</v>
      </c>
      <c r="E22">
        <v>60</v>
      </c>
    </row>
    <row r="23" spans="1:14" x14ac:dyDescent="0.25">
      <c r="A23" s="1" t="s">
        <v>289</v>
      </c>
      <c r="B23" t="s">
        <v>281</v>
      </c>
      <c r="C23" t="s">
        <v>290</v>
      </c>
      <c r="D23">
        <v>0</v>
      </c>
      <c r="E23">
        <v>90</v>
      </c>
    </row>
    <row r="24" spans="1:14" x14ac:dyDescent="0.25">
      <c r="A24" s="1" t="s">
        <v>291</v>
      </c>
      <c r="B24" t="s">
        <v>281</v>
      </c>
      <c r="C24" t="s">
        <v>292</v>
      </c>
      <c r="D24">
        <v>0</v>
      </c>
      <c r="E24">
        <v>50</v>
      </c>
    </row>
    <row r="25" spans="1:14" x14ac:dyDescent="0.25">
      <c r="A25" s="1" t="s">
        <v>293</v>
      </c>
      <c r="B25" t="s">
        <v>281</v>
      </c>
      <c r="C25" t="s">
        <v>294</v>
      </c>
      <c r="D25">
        <v>0</v>
      </c>
      <c r="E25">
        <v>80</v>
      </c>
    </row>
    <row r="26" spans="1:14" x14ac:dyDescent="0.25">
      <c r="A26" s="1" t="s">
        <v>295</v>
      </c>
      <c r="B26" t="s">
        <v>281</v>
      </c>
      <c r="C26" t="s">
        <v>296</v>
      </c>
      <c r="D26">
        <v>0</v>
      </c>
      <c r="E26">
        <v>120</v>
      </c>
    </row>
    <row r="27" spans="1:14" x14ac:dyDescent="0.25">
      <c r="A27" s="1" t="s">
        <v>297</v>
      </c>
      <c r="B27" t="s">
        <v>281</v>
      </c>
      <c r="C27" t="s">
        <v>298</v>
      </c>
      <c r="D27">
        <v>0</v>
      </c>
      <c r="E27">
        <v>60</v>
      </c>
    </row>
    <row r="28" spans="1:14" x14ac:dyDescent="0.25">
      <c r="A28" s="1" t="s">
        <v>299</v>
      </c>
      <c r="B28" t="s">
        <v>281</v>
      </c>
      <c r="C28" t="s">
        <v>300</v>
      </c>
      <c r="D28">
        <v>0</v>
      </c>
      <c r="E28">
        <v>100</v>
      </c>
    </row>
    <row r="29" spans="1:14" x14ac:dyDescent="0.25">
      <c r="A29" s="1" t="s">
        <v>301</v>
      </c>
      <c r="B29" t="s">
        <v>302</v>
      </c>
      <c r="C29" t="s">
        <v>303</v>
      </c>
      <c r="D29">
        <v>0</v>
      </c>
      <c r="E29">
        <v>60</v>
      </c>
      <c r="F29">
        <v>150</v>
      </c>
      <c r="G29">
        <v>300</v>
      </c>
      <c r="H29">
        <v>550</v>
      </c>
    </row>
    <row r="30" spans="1:14" x14ac:dyDescent="0.25">
      <c r="A30" s="1" t="s">
        <v>304</v>
      </c>
      <c r="B30" t="s">
        <v>302</v>
      </c>
      <c r="C30" t="s">
        <v>305</v>
      </c>
      <c r="D30">
        <v>0</v>
      </c>
      <c r="E30">
        <v>60</v>
      </c>
      <c r="F30">
        <v>150</v>
      </c>
      <c r="G30">
        <v>300</v>
      </c>
      <c r="H30">
        <v>550</v>
      </c>
    </row>
    <row r="31" spans="1:14" x14ac:dyDescent="0.25">
      <c r="A31" s="1" t="s">
        <v>306</v>
      </c>
      <c r="B31" t="s">
        <v>302</v>
      </c>
      <c r="C31" t="s">
        <v>307</v>
      </c>
      <c r="D31">
        <v>0</v>
      </c>
      <c r="E31">
        <v>60</v>
      </c>
      <c r="F31">
        <v>150</v>
      </c>
      <c r="G31">
        <v>300</v>
      </c>
      <c r="H31">
        <v>550</v>
      </c>
    </row>
    <row r="32" spans="1:14" x14ac:dyDescent="0.25">
      <c r="A32" s="1" t="s">
        <v>308</v>
      </c>
      <c r="B32" t="s">
        <v>302</v>
      </c>
      <c r="C32" t="s">
        <v>309</v>
      </c>
      <c r="D32">
        <v>0</v>
      </c>
      <c r="E32">
        <v>60</v>
      </c>
      <c r="F32">
        <v>150</v>
      </c>
      <c r="G32">
        <v>300</v>
      </c>
      <c r="H32">
        <v>550</v>
      </c>
    </row>
    <row r="33" spans="1:14" x14ac:dyDescent="0.25">
      <c r="A33" s="1" t="s">
        <v>310</v>
      </c>
      <c r="B33" t="s">
        <v>311</v>
      </c>
      <c r="C33" t="s">
        <v>312</v>
      </c>
      <c r="D33">
        <v>0</v>
      </c>
      <c r="E33">
        <v>150</v>
      </c>
    </row>
    <row r="34" spans="1:14" x14ac:dyDescent="0.25">
      <c r="A34" s="1" t="s">
        <v>313</v>
      </c>
      <c r="B34" t="s">
        <v>311</v>
      </c>
      <c r="C34" t="s">
        <v>112</v>
      </c>
      <c r="D34">
        <v>0</v>
      </c>
      <c r="E34">
        <v>200</v>
      </c>
    </row>
    <row r="35" spans="1:14" x14ac:dyDescent="0.25">
      <c r="A35" s="1" t="s">
        <v>314</v>
      </c>
      <c r="B35" t="s">
        <v>311</v>
      </c>
      <c r="C35" t="s">
        <v>124</v>
      </c>
      <c r="D35">
        <v>0</v>
      </c>
      <c r="E35">
        <v>200</v>
      </c>
    </row>
    <row r="36" spans="1:14" x14ac:dyDescent="0.25">
      <c r="A36" s="1" t="s">
        <v>315</v>
      </c>
      <c r="B36" t="s">
        <v>311</v>
      </c>
      <c r="C36" t="s">
        <v>316</v>
      </c>
      <c r="D36">
        <v>0</v>
      </c>
      <c r="E36">
        <v>250</v>
      </c>
    </row>
    <row r="37" spans="1:14" x14ac:dyDescent="0.25">
      <c r="A37" s="1" t="s">
        <v>317</v>
      </c>
      <c r="B37" t="s">
        <v>311</v>
      </c>
      <c r="C37" t="s">
        <v>129</v>
      </c>
      <c r="D37">
        <v>0</v>
      </c>
      <c r="E37">
        <v>250</v>
      </c>
    </row>
    <row r="38" spans="1:14" x14ac:dyDescent="0.25">
      <c r="A38" s="1" t="s">
        <v>318</v>
      </c>
      <c r="B38" t="s">
        <v>311</v>
      </c>
      <c r="C38" t="s">
        <v>319</v>
      </c>
      <c r="D38">
        <v>0</v>
      </c>
      <c r="E38">
        <v>300</v>
      </c>
    </row>
    <row r="39" spans="1:14" x14ac:dyDescent="0.25">
      <c r="A39" s="1" t="s">
        <v>320</v>
      </c>
      <c r="B39" t="s">
        <v>311</v>
      </c>
      <c r="C39" t="s">
        <v>115</v>
      </c>
      <c r="D39">
        <v>0</v>
      </c>
      <c r="E39">
        <v>300</v>
      </c>
    </row>
    <row r="40" spans="1:14" x14ac:dyDescent="0.25">
      <c r="A40" s="1" t="s">
        <v>321</v>
      </c>
      <c r="B40" t="s">
        <v>311</v>
      </c>
      <c r="C40" t="s">
        <v>322</v>
      </c>
      <c r="D40">
        <v>0</v>
      </c>
      <c r="E40">
        <v>350</v>
      </c>
    </row>
    <row r="41" spans="1:14" x14ac:dyDescent="0.25">
      <c r="A41" s="1" t="s">
        <v>323</v>
      </c>
      <c r="B41" t="s">
        <v>311</v>
      </c>
      <c r="C41" t="s">
        <v>136</v>
      </c>
      <c r="D41">
        <v>0</v>
      </c>
      <c r="E41">
        <v>350</v>
      </c>
    </row>
    <row r="42" spans="1:14" x14ac:dyDescent="0.25">
      <c r="A42" s="1" t="s">
        <v>324</v>
      </c>
      <c r="B42" t="s">
        <v>311</v>
      </c>
      <c r="C42" t="s">
        <v>139</v>
      </c>
      <c r="D42">
        <v>0</v>
      </c>
      <c r="E42">
        <v>400</v>
      </c>
    </row>
    <row r="43" spans="1:14" x14ac:dyDescent="0.25">
      <c r="A43" s="1" t="s">
        <v>325</v>
      </c>
      <c r="B43" t="s">
        <v>311</v>
      </c>
      <c r="C43" t="s">
        <v>118</v>
      </c>
      <c r="D43">
        <v>0</v>
      </c>
      <c r="E43">
        <v>450</v>
      </c>
    </row>
    <row r="44" spans="1:14" x14ac:dyDescent="0.25">
      <c r="A44" s="1" t="s">
        <v>326</v>
      </c>
      <c r="B44" t="s">
        <v>281</v>
      </c>
      <c r="C44" t="s">
        <v>327</v>
      </c>
      <c r="D44">
        <v>0</v>
      </c>
      <c r="E44">
        <v>70</v>
      </c>
    </row>
    <row r="45" spans="1:14" x14ac:dyDescent="0.25">
      <c r="A45" s="1" t="s">
        <v>328</v>
      </c>
      <c r="B45" t="s">
        <v>281</v>
      </c>
      <c r="C45" t="s">
        <v>329</v>
      </c>
      <c r="D45">
        <v>0</v>
      </c>
      <c r="E45">
        <v>90</v>
      </c>
    </row>
    <row r="46" spans="1:14" x14ac:dyDescent="0.25">
      <c r="A46" s="1" t="s">
        <v>330</v>
      </c>
      <c r="B46" t="s">
        <v>281</v>
      </c>
      <c r="C46" t="s">
        <v>331</v>
      </c>
      <c r="D46">
        <v>0</v>
      </c>
      <c r="E46">
        <v>80</v>
      </c>
    </row>
    <row r="47" spans="1:14" x14ac:dyDescent="0.25">
      <c r="A47" s="1" t="s">
        <v>332</v>
      </c>
      <c r="B47" t="s">
        <v>281</v>
      </c>
      <c r="C47" t="s">
        <v>333</v>
      </c>
      <c r="D47">
        <v>0</v>
      </c>
      <c r="E47">
        <v>150</v>
      </c>
    </row>
    <row r="48" spans="1:14" x14ac:dyDescent="0.25">
      <c r="A48" s="1" t="s">
        <v>334</v>
      </c>
      <c r="B48" t="s">
        <v>281</v>
      </c>
      <c r="C48" t="s">
        <v>335</v>
      </c>
      <c r="D48">
        <v>0</v>
      </c>
      <c r="E48">
        <v>90</v>
      </c>
    </row>
    <row r="49" spans="1:14" x14ac:dyDescent="0.25">
      <c r="A49" s="1" t="s">
        <v>336</v>
      </c>
      <c r="B49" t="s">
        <v>281</v>
      </c>
      <c r="C49" t="s">
        <v>337</v>
      </c>
      <c r="D49">
        <v>0</v>
      </c>
      <c r="E49">
        <v>70</v>
      </c>
    </row>
    <row r="50" spans="1:14" x14ac:dyDescent="0.25">
      <c r="A50" s="1" t="s">
        <v>338</v>
      </c>
      <c r="B50" t="s">
        <v>281</v>
      </c>
      <c r="C50" t="s">
        <v>339</v>
      </c>
      <c r="D50">
        <v>0</v>
      </c>
      <c r="E50">
        <v>110</v>
      </c>
    </row>
    <row r="51" spans="1:14" x14ac:dyDescent="0.25">
      <c r="A51" s="1" t="s">
        <v>340</v>
      </c>
      <c r="B51" t="s">
        <v>281</v>
      </c>
      <c r="C51" t="s">
        <v>341</v>
      </c>
      <c r="D51">
        <v>0</v>
      </c>
      <c r="E51">
        <v>40</v>
      </c>
    </row>
    <row r="52" spans="1:14" x14ac:dyDescent="0.25">
      <c r="A52" s="1" t="s">
        <v>342</v>
      </c>
      <c r="B52" t="s">
        <v>281</v>
      </c>
      <c r="C52" t="s">
        <v>343</v>
      </c>
      <c r="D52">
        <v>0</v>
      </c>
      <c r="E52">
        <v>60</v>
      </c>
    </row>
    <row r="53" spans="1:14" x14ac:dyDescent="0.25">
      <c r="A53" s="1" t="s">
        <v>344</v>
      </c>
      <c r="B53" t="s">
        <v>281</v>
      </c>
      <c r="C53" t="s">
        <v>345</v>
      </c>
      <c r="D53">
        <v>0</v>
      </c>
      <c r="E53">
        <v>60</v>
      </c>
    </row>
    <row r="54" spans="1:14" x14ac:dyDescent="0.25">
      <c r="A54" s="1" t="s">
        <v>346</v>
      </c>
      <c r="B54" t="s">
        <v>281</v>
      </c>
      <c r="C54" t="s">
        <v>347</v>
      </c>
      <c r="D54">
        <v>0</v>
      </c>
      <c r="E54">
        <v>50</v>
      </c>
    </row>
    <row r="55" spans="1:14" x14ac:dyDescent="0.25">
      <c r="A55" s="1" t="s">
        <v>348</v>
      </c>
      <c r="B55" t="s">
        <v>281</v>
      </c>
      <c r="C55" t="s">
        <v>349</v>
      </c>
      <c r="D55">
        <v>0</v>
      </c>
      <c r="E55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4" width="13" customWidth="1"/>
  </cols>
  <sheetData>
    <row r="1" spans="1:14" x14ac:dyDescent="0.25">
      <c r="A1" s="2" t="s">
        <v>6</v>
      </c>
      <c r="B1" s="3" t="s">
        <v>7</v>
      </c>
      <c r="C1" s="3" t="s">
        <v>350</v>
      </c>
      <c r="D1" s="3" t="s">
        <v>351</v>
      </c>
      <c r="E1" s="3" t="s">
        <v>352</v>
      </c>
      <c r="F1" s="3" t="s">
        <v>353</v>
      </c>
      <c r="G1" s="3" t="s">
        <v>354</v>
      </c>
      <c r="H1" s="3" t="s">
        <v>355</v>
      </c>
      <c r="I1" s="3" t="s">
        <v>356</v>
      </c>
      <c r="J1" s="3" t="s">
        <v>357</v>
      </c>
      <c r="K1" s="3" t="s">
        <v>358</v>
      </c>
      <c r="L1" s="3" t="s">
        <v>359</v>
      </c>
      <c r="M1" s="3" t="s">
        <v>360</v>
      </c>
      <c r="N1" s="3" t="s">
        <v>361</v>
      </c>
    </row>
    <row r="2" ht="78" customHeight="1" spans="1:14" x14ac:dyDescent="0.25">
      <c r="A2" s="4" t="s">
        <v>145</v>
      </c>
      <c r="B2" s="5" t="s">
        <v>81</v>
      </c>
      <c r="C2" s="5" t="s">
        <v>362</v>
      </c>
      <c r="D2" s="5" t="s">
        <v>363</v>
      </c>
      <c r="E2" s="5" t="s">
        <v>364</v>
      </c>
      <c r="F2" s="5" t="s">
        <v>365</v>
      </c>
      <c r="G2" s="5" t="s">
        <v>366</v>
      </c>
      <c r="H2" s="5" t="s">
        <v>367</v>
      </c>
      <c r="I2" s="5" t="s">
        <v>368</v>
      </c>
      <c r="J2" s="5" t="s">
        <v>369</v>
      </c>
      <c r="K2" s="5" t="s">
        <v>370</v>
      </c>
      <c r="L2" s="5" t="s">
        <v>371</v>
      </c>
      <c r="M2" s="5" t="s">
        <v>372</v>
      </c>
      <c r="N2" s="5" t="s">
        <v>373</v>
      </c>
    </row>
    <row r="3" spans="1:14" x14ac:dyDescent="0.25">
      <c r="A3" s="1" t="s">
        <v>374</v>
      </c>
      <c r="B3" t="s">
        <v>375</v>
      </c>
      <c r="C3">
        <v>1.6</v>
      </c>
      <c r="D3">
        <v>0.8</v>
      </c>
      <c r="E3">
        <v>1</v>
      </c>
      <c r="F3">
        <v>1</v>
      </c>
      <c r="G3">
        <v>1</v>
      </c>
      <c r="H3">
        <v>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</row>
    <row r="4" spans="1:14" x14ac:dyDescent="0.25">
      <c r="A4" s="1" t="s">
        <v>376</v>
      </c>
      <c r="B4" t="s">
        <v>377</v>
      </c>
      <c r="C4">
        <v>0.6</v>
      </c>
      <c r="D4">
        <v>2</v>
      </c>
      <c r="E4">
        <v>1</v>
      </c>
      <c r="F4">
        <v>1.8</v>
      </c>
      <c r="G4">
        <v>1</v>
      </c>
      <c r="H4">
        <v>1</v>
      </c>
      <c r="I4">
        <v>-1</v>
      </c>
      <c r="J4">
        <v>-1</v>
      </c>
      <c r="K4">
        <v>-1</v>
      </c>
      <c r="L4">
        <v>0.8</v>
      </c>
      <c r="M4">
        <v>-1</v>
      </c>
      <c r="N4">
        <v>-1</v>
      </c>
    </row>
    <row r="5" spans="1:14" x14ac:dyDescent="0.25">
      <c r="A5" s="1" t="s">
        <v>378</v>
      </c>
      <c r="B5" t="s">
        <v>379</v>
      </c>
      <c r="C5">
        <v>1</v>
      </c>
      <c r="D5">
        <v>1</v>
      </c>
      <c r="E5">
        <v>2.4</v>
      </c>
      <c r="F5">
        <v>1</v>
      </c>
      <c r="G5">
        <v>1</v>
      </c>
      <c r="H5">
        <v>1</v>
      </c>
      <c r="I5">
        <v>-1</v>
      </c>
      <c r="J5">
        <v>-1</v>
      </c>
      <c r="K5">
        <v>0.6</v>
      </c>
      <c r="L5">
        <v>-1</v>
      </c>
      <c r="M5">
        <v>-1</v>
      </c>
      <c r="N5">
        <v>-1</v>
      </c>
    </row>
    <row r="6" spans="1:14" x14ac:dyDescent="0.25">
      <c r="A6" s="1" t="s">
        <v>380</v>
      </c>
      <c r="B6" t="s">
        <v>381</v>
      </c>
      <c r="C6">
        <v>1</v>
      </c>
      <c r="D6">
        <v>1</v>
      </c>
      <c r="E6">
        <v>1</v>
      </c>
      <c r="F6">
        <v>1</v>
      </c>
      <c r="G6">
        <v>1</v>
      </c>
      <c r="H6">
        <v>1.5</v>
      </c>
      <c r="I6">
        <v>-1</v>
      </c>
      <c r="J6">
        <v>-1</v>
      </c>
      <c r="K6">
        <v>-1</v>
      </c>
      <c r="L6">
        <v>-1</v>
      </c>
      <c r="M6">
        <v>-1</v>
      </c>
      <c r="N6">
        <v>2.5</v>
      </c>
    </row>
    <row r="7" spans="1:14" x14ac:dyDescent="0.25">
      <c r="A7" s="1" t="s">
        <v>382</v>
      </c>
      <c r="B7" t="s">
        <v>383</v>
      </c>
      <c r="C7">
        <v>0.8</v>
      </c>
      <c r="D7">
        <v>1.3</v>
      </c>
      <c r="E7">
        <v>1.3</v>
      </c>
      <c r="F7">
        <v>1.3</v>
      </c>
      <c r="G7">
        <v>1</v>
      </c>
      <c r="H7">
        <v>1</v>
      </c>
      <c r="I7">
        <v>-1</v>
      </c>
      <c r="J7">
        <v>-1</v>
      </c>
      <c r="K7">
        <v>1</v>
      </c>
      <c r="L7">
        <v>1</v>
      </c>
      <c r="M7">
        <v>-1</v>
      </c>
      <c r="N7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384</v>
      </c>
      <c r="C1" s="3" t="s">
        <v>385</v>
      </c>
    </row>
    <row r="2" ht="78" customHeight="1" spans="1:3" x14ac:dyDescent="0.25">
      <c r="A2" s="4" t="s">
        <v>145</v>
      </c>
      <c r="B2" s="5" t="s">
        <v>386</v>
      </c>
      <c r="C2" s="5" t="s">
        <v>387</v>
      </c>
    </row>
    <row r="3" spans="1:3" x14ac:dyDescent="0.25">
      <c r="A3" s="1" t="s">
        <v>388</v>
      </c>
      <c r="B3">
        <v>3</v>
      </c>
      <c r="C3" t="s">
        <v>389</v>
      </c>
    </row>
    <row r="4" spans="1:3" x14ac:dyDescent="0.25">
      <c r="A4" s="1" t="s">
        <v>390</v>
      </c>
      <c r="B4">
        <v>12</v>
      </c>
      <c r="C4" t="s">
        <v>391</v>
      </c>
    </row>
    <row r="5" spans="1:3" x14ac:dyDescent="0.25">
      <c r="A5" s="1" t="s">
        <v>392</v>
      </c>
      <c r="B5">
        <v>0.8</v>
      </c>
      <c r="C5" t="s">
        <v>393</v>
      </c>
    </row>
    <row r="6" spans="1:3" x14ac:dyDescent="0.25">
      <c r="A6" s="1" t="s">
        <v>394</v>
      </c>
      <c r="B6">
        <v>0.16</v>
      </c>
      <c r="C6" t="s">
        <v>395</v>
      </c>
    </row>
    <row r="7" spans="1:3" x14ac:dyDescent="0.25">
      <c r="A7" s="1" t="s">
        <v>396</v>
      </c>
      <c r="B7">
        <v>2</v>
      </c>
      <c r="C7" t="s">
        <v>397</v>
      </c>
    </row>
    <row r="8" spans="1:3" x14ac:dyDescent="0.25">
      <c r="A8" s="1" t="s">
        <v>398</v>
      </c>
      <c r="B8">
        <v>0.35</v>
      </c>
      <c r="C8" t="s">
        <v>399</v>
      </c>
    </row>
    <row r="9" spans="1:3" x14ac:dyDescent="0.25">
      <c r="A9" s="1" t="s">
        <v>400</v>
      </c>
      <c r="B9">
        <v>3</v>
      </c>
      <c r="C9" t="s">
        <v>401</v>
      </c>
    </row>
    <row r="10" spans="1:3" x14ac:dyDescent="0.25">
      <c r="A10" s="1" t="s">
        <v>402</v>
      </c>
      <c r="B10">
        <v>0.09</v>
      </c>
      <c r="C10" t="s">
        <v>403</v>
      </c>
    </row>
    <row r="11" spans="1:3" x14ac:dyDescent="0.25">
      <c r="A11" s="1" t="s">
        <v>404</v>
      </c>
      <c r="B11">
        <v>4</v>
      </c>
      <c r="C11" t="s">
        <v>405</v>
      </c>
    </row>
    <row r="12" spans="1:3" x14ac:dyDescent="0.25">
      <c r="A12" s="1" t="s">
        <v>406</v>
      </c>
      <c r="B12">
        <v>4</v>
      </c>
      <c r="C12" t="s">
        <v>407</v>
      </c>
    </row>
    <row r="13" spans="1:3" x14ac:dyDescent="0.25">
      <c r="A13" s="1" t="s">
        <v>408</v>
      </c>
      <c r="B13">
        <v>0.7</v>
      </c>
      <c r="C13" t="s">
        <v>409</v>
      </c>
    </row>
    <row r="14" spans="1:3" x14ac:dyDescent="0.25">
      <c r="A14" s="1" t="s">
        <v>410</v>
      </c>
      <c r="B14">
        <v>0.6</v>
      </c>
      <c r="C14" t="s">
        <v>411</v>
      </c>
    </row>
    <row r="15" spans="1:3" x14ac:dyDescent="0.25">
      <c r="A15" s="1" t="s">
        <v>412</v>
      </c>
      <c r="B15">
        <v>6</v>
      </c>
      <c r="C15" t="s">
        <v>413</v>
      </c>
    </row>
    <row r="16" spans="1:3" x14ac:dyDescent="0.25">
      <c r="A16" s="1" t="s">
        <v>414</v>
      </c>
      <c r="B16">
        <v>0.5</v>
      </c>
      <c r="C16" t="s">
        <v>415</v>
      </c>
    </row>
    <row r="17" spans="1:3" x14ac:dyDescent="0.25">
      <c r="A17" s="1" t="s">
        <v>416</v>
      </c>
      <c r="B17">
        <v>0.3</v>
      </c>
      <c r="C17" t="s">
        <v>417</v>
      </c>
    </row>
    <row r="18" spans="1:3" x14ac:dyDescent="0.25">
      <c r="A18" s="1" t="s">
        <v>418</v>
      </c>
      <c r="B18">
        <v>0.5</v>
      </c>
      <c r="C18" t="s">
        <v>419</v>
      </c>
    </row>
    <row r="19" spans="1:3" x14ac:dyDescent="0.25">
      <c r="A19" s="1" t="s">
        <v>420</v>
      </c>
      <c r="B19">
        <v>0.1</v>
      </c>
      <c r="C19" t="s">
        <v>421</v>
      </c>
    </row>
    <row r="20" spans="1:3" x14ac:dyDescent="0.25">
      <c r="A20" s="1" t="s">
        <v>422</v>
      </c>
      <c r="B20">
        <v>3</v>
      </c>
      <c r="C20" t="s">
        <v>423</v>
      </c>
    </row>
    <row r="21" spans="1:3" x14ac:dyDescent="0.25">
      <c r="A21" s="1" t="s">
        <v>424</v>
      </c>
      <c r="B21">
        <v>5</v>
      </c>
      <c r="C21" t="s">
        <v>425</v>
      </c>
    </row>
    <row r="22" spans="1:3" x14ac:dyDescent="0.25">
      <c r="A22" s="1" t="s">
        <v>426</v>
      </c>
      <c r="B22">
        <v>1.2</v>
      </c>
      <c r="C22" t="s">
        <v>427</v>
      </c>
    </row>
    <row r="23" spans="1:3" x14ac:dyDescent="0.25">
      <c r="A23" s="1" t="s">
        <v>428</v>
      </c>
      <c r="B23">
        <v>2</v>
      </c>
      <c r="C23" t="s">
        <v>429</v>
      </c>
    </row>
    <row r="24" spans="1:3" x14ac:dyDescent="0.25">
      <c r="A24" s="1" t="s">
        <v>430</v>
      </c>
      <c r="B24">
        <v>1.6</v>
      </c>
      <c r="C24" t="s">
        <v>431</v>
      </c>
    </row>
    <row r="25" spans="1:3" x14ac:dyDescent="0.25">
      <c r="A25" s="1" t="s">
        <v>432</v>
      </c>
      <c r="B25">
        <v>1.3</v>
      </c>
      <c r="C25" t="s">
        <v>433</v>
      </c>
    </row>
    <row r="26" spans="1:3" x14ac:dyDescent="0.25">
      <c r="A26" s="1" t="s">
        <v>434</v>
      </c>
      <c r="B26">
        <v>2.5</v>
      </c>
      <c r="C26" t="s">
        <v>435</v>
      </c>
    </row>
    <row r="27" spans="1:3" x14ac:dyDescent="0.25">
      <c r="A27" s="1" t="s">
        <v>436</v>
      </c>
      <c r="B27">
        <v>4.5</v>
      </c>
      <c r="C27" t="s">
        <v>437</v>
      </c>
    </row>
    <row r="28" spans="1:3" x14ac:dyDescent="0.25">
      <c r="A28" s="1" t="s">
        <v>438</v>
      </c>
      <c r="B28">
        <v>1.6</v>
      </c>
      <c r="C28" t="s">
        <v>439</v>
      </c>
    </row>
    <row r="29" spans="1:3" x14ac:dyDescent="0.25">
      <c r="A29" s="1" t="s">
        <v>440</v>
      </c>
      <c r="B29">
        <v>0.3</v>
      </c>
      <c r="C29" t="s">
        <v>441</v>
      </c>
    </row>
    <row r="30" spans="1:3" x14ac:dyDescent="0.25">
      <c r="A30" s="1" t="s">
        <v>442</v>
      </c>
      <c r="B30">
        <v>0.45</v>
      </c>
      <c r="C30" t="s">
        <v>443</v>
      </c>
    </row>
    <row r="31" spans="1:3" x14ac:dyDescent="0.25">
      <c r="A31" s="1" t="s">
        <v>444</v>
      </c>
      <c r="B31">
        <v>2</v>
      </c>
      <c r="C31" t="s">
        <v>445</v>
      </c>
    </row>
    <row r="32" spans="1:3" x14ac:dyDescent="0.25">
      <c r="A32" s="1" t="s">
        <v>446</v>
      </c>
      <c r="B32">
        <v>0.7</v>
      </c>
      <c r="C32" t="s">
        <v>447</v>
      </c>
    </row>
    <row r="33" spans="1:3" x14ac:dyDescent="0.25">
      <c r="A33" s="1" t="s">
        <v>448</v>
      </c>
      <c r="B33">
        <v>0.5</v>
      </c>
      <c r="C33" t="s">
        <v>449</v>
      </c>
    </row>
    <row r="34" spans="1:3" x14ac:dyDescent="0.25">
      <c r="A34" s="1" t="s">
        <v>450</v>
      </c>
      <c r="B34">
        <v>0.7</v>
      </c>
      <c r="C34" t="s">
        <v>451</v>
      </c>
    </row>
    <row r="35" spans="1:3" x14ac:dyDescent="0.25">
      <c r="A35" s="1" t="s">
        <v>452</v>
      </c>
      <c r="B35">
        <v>1.4</v>
      </c>
      <c r="C35" t="s">
        <v>453</v>
      </c>
    </row>
    <row r="36" spans="1:3" x14ac:dyDescent="0.25">
      <c r="A36" s="1" t="s">
        <v>454</v>
      </c>
      <c r="B36">
        <v>2.5</v>
      </c>
      <c r="C36" t="s">
        <v>455</v>
      </c>
    </row>
    <row r="37" spans="1:3" x14ac:dyDescent="0.25">
      <c r="A37" s="1" t="s">
        <v>456</v>
      </c>
      <c r="B37">
        <v>0.2</v>
      </c>
      <c r="C37" t="s">
        <v>457</v>
      </c>
    </row>
    <row r="38" spans="1:3" x14ac:dyDescent="0.25">
      <c r="A38" s="1" t="s">
        <v>458</v>
      </c>
      <c r="B38">
        <v>0.28</v>
      </c>
      <c r="C38" t="s">
        <v>459</v>
      </c>
    </row>
    <row r="39" spans="1:3" x14ac:dyDescent="0.25">
      <c r="A39" s="1" t="s">
        <v>460</v>
      </c>
      <c r="B39">
        <v>1.6</v>
      </c>
      <c r="C39" t="s">
        <v>461</v>
      </c>
    </row>
    <row r="40" spans="1:3" x14ac:dyDescent="0.25">
      <c r="A40" s="1" t="s">
        <v>462</v>
      </c>
      <c r="B40">
        <v>0.4</v>
      </c>
      <c r="C40" t="s">
        <v>463</v>
      </c>
    </row>
    <row r="41" spans="1:3" x14ac:dyDescent="0.25">
      <c r="A41" s="1" t="s">
        <v>464</v>
      </c>
      <c r="B41">
        <v>1</v>
      </c>
      <c r="C41" t="s">
        <v>465</v>
      </c>
    </row>
    <row r="42" spans="1:3" x14ac:dyDescent="0.25">
      <c r="A42" s="1" t="s">
        <v>466</v>
      </c>
      <c r="B42">
        <v>4.5</v>
      </c>
      <c r="C42" t="s">
        <v>467</v>
      </c>
    </row>
    <row r="43" spans="1:3" x14ac:dyDescent="0.25">
      <c r="A43" s="1" t="s">
        <v>468</v>
      </c>
      <c r="B43">
        <v>2.5</v>
      </c>
      <c r="C43" t="s">
        <v>469</v>
      </c>
    </row>
    <row r="44" spans="1:3" x14ac:dyDescent="0.25">
      <c r="A44" s="1" t="s">
        <v>470</v>
      </c>
      <c r="B44">
        <v>1.5</v>
      </c>
      <c r="C44" t="s">
        <v>471</v>
      </c>
    </row>
    <row r="45" spans="1:3" x14ac:dyDescent="0.25">
      <c r="A45" s="1" t="s">
        <v>472</v>
      </c>
      <c r="B45">
        <v>6</v>
      </c>
      <c r="C45" t="s">
        <v>473</v>
      </c>
    </row>
    <row r="46" spans="1:3" x14ac:dyDescent="0.25">
      <c r="A46" s="1" t="s">
        <v>474</v>
      </c>
      <c r="B46">
        <v>0.6</v>
      </c>
      <c r="C46" t="s">
        <v>475</v>
      </c>
    </row>
    <row r="47" spans="1:3" x14ac:dyDescent="0.25">
      <c r="A47" s="1" t="s">
        <v>476</v>
      </c>
      <c r="B47">
        <v>3</v>
      </c>
      <c r="C47" t="s">
        <v>477</v>
      </c>
    </row>
    <row r="48" spans="1:3" x14ac:dyDescent="0.25">
      <c r="A48" s="1" t="s">
        <v>478</v>
      </c>
      <c r="B48">
        <v>1.5</v>
      </c>
      <c r="C48" t="s">
        <v>479</v>
      </c>
    </row>
    <row r="49" spans="1:3" x14ac:dyDescent="0.25">
      <c r="A49" s="1" t="s">
        <v>480</v>
      </c>
      <c r="B49">
        <v>26</v>
      </c>
      <c r="C49" t="s">
        <v>481</v>
      </c>
    </row>
    <row r="50" spans="1:3" x14ac:dyDescent="0.25">
      <c r="A50" s="1" t="s">
        <v>482</v>
      </c>
      <c r="B50">
        <v>0.5</v>
      </c>
      <c r="C50" t="s">
        <v>483</v>
      </c>
    </row>
    <row r="51" spans="1:3" x14ac:dyDescent="0.25">
      <c r="A51" s="1" t="s">
        <v>484</v>
      </c>
      <c r="B51">
        <v>0.35</v>
      </c>
      <c r="C51" t="s">
        <v>485</v>
      </c>
    </row>
    <row r="52" spans="1:3" x14ac:dyDescent="0.25">
      <c r="A52" s="1" t="s">
        <v>486</v>
      </c>
      <c r="B52">
        <v>2</v>
      </c>
      <c r="C52" t="s">
        <v>487</v>
      </c>
    </row>
    <row r="53" spans="1:3" x14ac:dyDescent="0.25">
      <c r="A53" s="1" t="s">
        <v>488</v>
      </c>
      <c r="B53">
        <v>3</v>
      </c>
      <c r="C53" t="s">
        <v>489</v>
      </c>
    </row>
    <row r="54" spans="1:3" x14ac:dyDescent="0.25">
      <c r="A54" s="1" t="s">
        <v>490</v>
      </c>
      <c r="B54">
        <v>2</v>
      </c>
      <c r="C54" t="s">
        <v>491</v>
      </c>
    </row>
    <row r="55" spans="1:3" x14ac:dyDescent="0.25">
      <c r="A55" s="1" t="s">
        <v>492</v>
      </c>
      <c r="B55">
        <v>8</v>
      </c>
      <c r="C55" t="s">
        <v>493</v>
      </c>
    </row>
    <row r="56" spans="1:3" x14ac:dyDescent="0.25">
      <c r="A56" s="1" t="s">
        <v>494</v>
      </c>
      <c r="B56">
        <v>0.25</v>
      </c>
      <c r="C56" t="s">
        <v>495</v>
      </c>
    </row>
    <row r="57" spans="1:3" x14ac:dyDescent="0.25">
      <c r="A57" s="1" t="s">
        <v>496</v>
      </c>
      <c r="B57">
        <v>4</v>
      </c>
      <c r="C57" t="s">
        <v>497</v>
      </c>
    </row>
    <row r="58" spans="1:3" x14ac:dyDescent="0.25">
      <c r="A58" s="1" t="s">
        <v>498</v>
      </c>
      <c r="B58">
        <v>30</v>
      </c>
      <c r="C58" t="s">
        <v>499</v>
      </c>
    </row>
    <row r="59" spans="1:3" x14ac:dyDescent="0.25">
      <c r="A59" s="1" t="s">
        <v>500</v>
      </c>
      <c r="B59">
        <v>0.25</v>
      </c>
      <c r="C59" t="s">
        <v>501</v>
      </c>
    </row>
    <row r="60" spans="1:3" x14ac:dyDescent="0.25">
      <c r="A60" s="1" t="s">
        <v>502</v>
      </c>
      <c r="B60">
        <v>4</v>
      </c>
      <c r="C60" t="s">
        <v>503</v>
      </c>
    </row>
    <row r="61" spans="1:3" x14ac:dyDescent="0.25">
      <c r="A61" s="1" t="s">
        <v>504</v>
      </c>
      <c r="B61">
        <v>0.35</v>
      </c>
      <c r="C61" t="s">
        <v>505</v>
      </c>
    </row>
    <row r="62" spans="1:3" x14ac:dyDescent="0.25">
      <c r="A62" s="1" t="s">
        <v>506</v>
      </c>
      <c r="B62">
        <v>0.3</v>
      </c>
      <c r="C62" t="s">
        <v>507</v>
      </c>
    </row>
    <row r="63" spans="1:3" x14ac:dyDescent="0.25">
      <c r="A63" s="1" t="s">
        <v>508</v>
      </c>
      <c r="B63">
        <v>1.1</v>
      </c>
      <c r="C63" t="s">
        <v>509</v>
      </c>
    </row>
    <row r="64" spans="1:3" x14ac:dyDescent="0.25">
      <c r="A64" s="1" t="s">
        <v>510</v>
      </c>
      <c r="B64">
        <v>1.5</v>
      </c>
      <c r="C64" t="s">
        <v>511</v>
      </c>
    </row>
    <row r="65" spans="1:3" x14ac:dyDescent="0.25">
      <c r="A65" s="1" t="s">
        <v>512</v>
      </c>
      <c r="B65">
        <v>1.25</v>
      </c>
      <c r="C65" t="s">
        <v>513</v>
      </c>
    </row>
    <row r="66" spans="1:3" x14ac:dyDescent="0.25">
      <c r="A66" s="1" t="s">
        <v>514</v>
      </c>
      <c r="B66">
        <v>1.3</v>
      </c>
      <c r="C66" t="s">
        <v>515</v>
      </c>
    </row>
    <row r="67" spans="1:3" x14ac:dyDescent="0.25">
      <c r="A67" s="1" t="s">
        <v>516</v>
      </c>
      <c r="B67">
        <v>0.5</v>
      </c>
      <c r="C67" t="s">
        <v>517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2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384</v>
      </c>
      <c r="C1" s="3" t="s">
        <v>385</v>
      </c>
    </row>
    <row r="2" ht="78" customHeight="1" spans="1:3" x14ac:dyDescent="0.25">
      <c r="A2" s="4" t="s">
        <v>145</v>
      </c>
      <c r="B2" s="5" t="s">
        <v>386</v>
      </c>
      <c r="C2" s="5" t="s">
        <v>387</v>
      </c>
    </row>
    <row r="3" spans="1:3" x14ac:dyDescent="0.25">
      <c r="A3" s="1" t="s">
        <v>518</v>
      </c>
      <c r="B3">
        <v>0.5</v>
      </c>
      <c r="C3" t="s">
        <v>519</v>
      </c>
    </row>
    <row r="4" spans="1:3" x14ac:dyDescent="0.25">
      <c r="A4" s="1" t="s">
        <v>520</v>
      </c>
      <c r="B4">
        <v>2</v>
      </c>
      <c r="C4" t="s">
        <v>521</v>
      </c>
    </row>
    <row r="5" spans="1:3" x14ac:dyDescent="0.25">
      <c r="A5" s="1" t="s">
        <v>522</v>
      </c>
      <c r="B5">
        <v>1.3</v>
      </c>
      <c r="C5" t="s">
        <v>523</v>
      </c>
    </row>
    <row r="6" spans="1:3" x14ac:dyDescent="0.25">
      <c r="A6" s="1" t="s">
        <v>524</v>
      </c>
      <c r="B6">
        <v>2</v>
      </c>
      <c r="C6" t="s">
        <v>525</v>
      </c>
    </row>
    <row r="7" spans="1:3" x14ac:dyDescent="0.25">
      <c r="A7" s="1" t="s">
        <v>526</v>
      </c>
      <c r="B7">
        <v>200</v>
      </c>
      <c r="C7" t="s">
        <v>527</v>
      </c>
    </row>
    <row r="8" spans="1:3" x14ac:dyDescent="0.25">
      <c r="A8" s="1" t="s">
        <v>528</v>
      </c>
      <c r="B8">
        <v>25</v>
      </c>
      <c r="C8" t="s">
        <v>529</v>
      </c>
    </row>
    <row r="9" spans="1:3" x14ac:dyDescent="0.25">
      <c r="A9" s="1" t="s">
        <v>530</v>
      </c>
      <c r="B9">
        <v>2.2</v>
      </c>
      <c r="C9" t="s">
        <v>531</v>
      </c>
    </row>
    <row r="10" spans="1:3" x14ac:dyDescent="0.25">
      <c r="A10" s="1" t="s">
        <v>532</v>
      </c>
      <c r="B10">
        <v>100</v>
      </c>
      <c r="C10" t="s">
        <v>533</v>
      </c>
    </row>
    <row r="11" spans="1:3" x14ac:dyDescent="0.25">
      <c r="A11" s="1" t="s">
        <v>534</v>
      </c>
      <c r="B11">
        <v>60</v>
      </c>
      <c r="C11" t="s">
        <v>535</v>
      </c>
    </row>
    <row r="12" spans="1:3" x14ac:dyDescent="0.25">
      <c r="A12" s="1" t="s">
        <v>536</v>
      </c>
      <c r="B12">
        <v>1</v>
      </c>
      <c r="C12" t="s">
        <v>537</v>
      </c>
    </row>
    <row r="13" spans="1:3" x14ac:dyDescent="0.25">
      <c r="A13" s="1" t="s">
        <v>538</v>
      </c>
      <c r="B13">
        <v>16</v>
      </c>
      <c r="C13" t="s">
        <v>539</v>
      </c>
    </row>
    <row r="14" spans="1:3" x14ac:dyDescent="0.25">
      <c r="A14" s="1" t="s">
        <v>540</v>
      </c>
      <c r="B14">
        <v>36</v>
      </c>
      <c r="C14" t="s">
        <v>541</v>
      </c>
    </row>
    <row r="15" spans="1:3" x14ac:dyDescent="0.25">
      <c r="A15" s="1" t="s">
        <v>542</v>
      </c>
      <c r="B15">
        <v>54</v>
      </c>
      <c r="C15" t="s">
        <v>543</v>
      </c>
    </row>
    <row r="16" spans="1:3" x14ac:dyDescent="0.25">
      <c r="A16" s="1" t="s">
        <v>544</v>
      </c>
      <c r="B16">
        <v>1.6</v>
      </c>
      <c r="C16" t="s">
        <v>545</v>
      </c>
    </row>
    <row r="17" spans="1:3" x14ac:dyDescent="0.25">
      <c r="A17" s="1" t="s">
        <v>546</v>
      </c>
      <c r="B17">
        <v>75</v>
      </c>
      <c r="C17" t="s">
        <v>547</v>
      </c>
    </row>
    <row r="18" spans="1:3" x14ac:dyDescent="0.25">
      <c r="A18" s="1" t="s">
        <v>548</v>
      </c>
      <c r="B18">
        <v>50</v>
      </c>
      <c r="C18" t="s">
        <v>549</v>
      </c>
    </row>
    <row r="19" spans="1:3" x14ac:dyDescent="0.25">
      <c r="A19" s="1" t="s">
        <v>550</v>
      </c>
      <c r="B19">
        <v>26</v>
      </c>
      <c r="C19" t="s">
        <v>551</v>
      </c>
    </row>
    <row r="20" spans="1:3" x14ac:dyDescent="0.25">
      <c r="A20" s="1" t="s">
        <v>552</v>
      </c>
      <c r="B20">
        <v>10</v>
      </c>
      <c r="C20" t="s">
        <v>553</v>
      </c>
    </row>
    <row r="21" spans="1:3" x14ac:dyDescent="0.25">
      <c r="A21" s="1" t="s">
        <v>554</v>
      </c>
      <c r="B21">
        <v>12</v>
      </c>
      <c r="C21" t="s">
        <v>555</v>
      </c>
    </row>
    <row r="22" spans="1:3" x14ac:dyDescent="0.25">
      <c r="A22" s="1" t="s">
        <v>556</v>
      </c>
      <c r="B22">
        <v>0.6</v>
      </c>
      <c r="C22" t="s">
        <v>557</v>
      </c>
    </row>
    <row r="23" spans="1:3" x14ac:dyDescent="0.25">
      <c r="A23" s="1" t="s">
        <v>558</v>
      </c>
      <c r="B23">
        <v>150</v>
      </c>
      <c r="C23" t="s">
        <v>559</v>
      </c>
    </row>
    <row r="24" spans="1:3" x14ac:dyDescent="0.25">
      <c r="A24" s="1" t="s">
        <v>560</v>
      </c>
      <c r="B24">
        <v>6</v>
      </c>
      <c r="C24" t="s">
        <v>561</v>
      </c>
    </row>
    <row r="25" spans="1:3" x14ac:dyDescent="0.25">
      <c r="A25" s="1" t="s">
        <v>562</v>
      </c>
      <c r="B25">
        <v>60</v>
      </c>
      <c r="C25" t="s">
        <v>563</v>
      </c>
    </row>
    <row r="26" spans="1:3" x14ac:dyDescent="0.25">
      <c r="A26" s="1" t="s">
        <v>564</v>
      </c>
      <c r="B26">
        <v>4</v>
      </c>
      <c r="C26" t="s">
        <v>565</v>
      </c>
    </row>
    <row r="27" spans="1:3" x14ac:dyDescent="0.25">
      <c r="A27" s="1" t="s">
        <v>566</v>
      </c>
      <c r="B27">
        <v>1.2</v>
      </c>
      <c r="C27" t="s">
        <v>567</v>
      </c>
    </row>
    <row r="28" spans="1:3" x14ac:dyDescent="0.25">
      <c r="A28" s="1" t="s">
        <v>568</v>
      </c>
      <c r="B28">
        <v>90</v>
      </c>
      <c r="C28" t="s">
        <v>569</v>
      </c>
    </row>
    <row r="29" spans="1:3" x14ac:dyDescent="0.25">
      <c r="A29" s="1" t="s">
        <v>570</v>
      </c>
      <c r="B29">
        <v>0.5</v>
      </c>
      <c r="C29" t="s">
        <v>571</v>
      </c>
    </row>
    <row r="30" spans="1:3" x14ac:dyDescent="0.25">
      <c r="A30" s="1" t="s">
        <v>572</v>
      </c>
      <c r="B30">
        <v>45</v>
      </c>
      <c r="C30" t="s">
        <v>573</v>
      </c>
    </row>
    <row r="31" spans="1:3" x14ac:dyDescent="0.25">
      <c r="A31" s="1" t="s">
        <v>574</v>
      </c>
      <c r="B31">
        <v>35</v>
      </c>
      <c r="C31" t="s">
        <v>575</v>
      </c>
    </row>
    <row r="32" spans="1:3" x14ac:dyDescent="0.25">
      <c r="A32" s="1" t="s">
        <v>576</v>
      </c>
      <c r="B32">
        <v>16</v>
      </c>
      <c r="C32" t="s">
        <v>577</v>
      </c>
    </row>
    <row r="33" spans="1:3" x14ac:dyDescent="0.25">
      <c r="A33" s="1" t="s">
        <v>578</v>
      </c>
      <c r="B33">
        <v>12</v>
      </c>
      <c r="C33" t="s">
        <v>579</v>
      </c>
    </row>
    <row r="34" spans="1:3" x14ac:dyDescent="0.25">
      <c r="A34" s="1" t="s">
        <v>580</v>
      </c>
      <c r="B34">
        <v>22</v>
      </c>
      <c r="C34" t="s">
        <v>581</v>
      </c>
    </row>
    <row r="35" spans="1:3" x14ac:dyDescent="0.25">
      <c r="A35" s="1" t="s">
        <v>582</v>
      </c>
      <c r="B35">
        <v>60</v>
      </c>
      <c r="C35" t="s">
        <v>583</v>
      </c>
    </row>
    <row r="36" spans="1:3" x14ac:dyDescent="0.25">
      <c r="A36" s="1" t="s">
        <v>584</v>
      </c>
      <c r="B36">
        <v>45</v>
      </c>
      <c r="C36" t="s">
        <v>585</v>
      </c>
    </row>
    <row r="37" spans="1:3" x14ac:dyDescent="0.25">
      <c r="A37" s="1" t="s">
        <v>586</v>
      </c>
      <c r="B37">
        <v>26</v>
      </c>
      <c r="C37" t="s">
        <v>587</v>
      </c>
    </row>
    <row r="38" spans="1:3" x14ac:dyDescent="0.25">
      <c r="A38" s="1" t="s">
        <v>588</v>
      </c>
      <c r="B38">
        <v>30</v>
      </c>
      <c r="C38" t="s">
        <v>589</v>
      </c>
    </row>
    <row r="39" spans="1:3" x14ac:dyDescent="0.25">
      <c r="A39" s="1" t="s">
        <v>590</v>
      </c>
      <c r="B39">
        <v>8</v>
      </c>
      <c r="C39" t="s">
        <v>591</v>
      </c>
    </row>
    <row r="40" spans="1:3" x14ac:dyDescent="0.25">
      <c r="A40" s="1" t="s">
        <v>592</v>
      </c>
      <c r="B40">
        <v>7</v>
      </c>
      <c r="C40" t="s">
        <v>593</v>
      </c>
    </row>
    <row r="41" spans="1:3" x14ac:dyDescent="0.25">
      <c r="A41" s="1" t="s">
        <v>594</v>
      </c>
      <c r="B41">
        <v>20</v>
      </c>
      <c r="C41" t="s">
        <v>595</v>
      </c>
    </row>
    <row r="42" spans="1:3" x14ac:dyDescent="0.25">
      <c r="A42" s="1" t="s">
        <v>596</v>
      </c>
      <c r="B42">
        <v>95</v>
      </c>
      <c r="C42" t="s">
        <v>597</v>
      </c>
    </row>
    <row r="43" spans="1:3" x14ac:dyDescent="0.25">
      <c r="A43" s="1" t="s">
        <v>598</v>
      </c>
      <c r="B43">
        <v>50</v>
      </c>
      <c r="C43" t="s">
        <v>599</v>
      </c>
    </row>
    <row r="44" spans="1:3" x14ac:dyDescent="0.25">
      <c r="A44" s="1" t="s">
        <v>600</v>
      </c>
      <c r="B44">
        <v>200</v>
      </c>
      <c r="C44" t="s">
        <v>601</v>
      </c>
    </row>
    <row r="45" spans="1:3" x14ac:dyDescent="0.25">
      <c r="A45" s="1" t="s">
        <v>602</v>
      </c>
      <c r="B45">
        <v>400</v>
      </c>
      <c r="C45" t="s">
        <v>603</v>
      </c>
    </row>
    <row r="46" spans="1:3" x14ac:dyDescent="0.25">
      <c r="A46" s="1" t="s">
        <v>604</v>
      </c>
      <c r="B46">
        <v>600</v>
      </c>
      <c r="C46" t="s">
        <v>605</v>
      </c>
    </row>
    <row r="47" spans="1:3" x14ac:dyDescent="0.25">
      <c r="A47" s="1" t="s">
        <v>606</v>
      </c>
      <c r="B47">
        <v>120</v>
      </c>
      <c r="C47" t="s">
        <v>607</v>
      </c>
    </row>
    <row r="48" spans="1:3" x14ac:dyDescent="0.25">
      <c r="A48" s="1" t="s">
        <v>608</v>
      </c>
      <c r="B48">
        <v>600</v>
      </c>
      <c r="C48" t="s">
        <v>609</v>
      </c>
    </row>
    <row r="49" spans="1:3" x14ac:dyDescent="0.25">
      <c r="A49" s="1" t="s">
        <v>610</v>
      </c>
      <c r="B49">
        <v>100</v>
      </c>
      <c r="C49" t="s">
        <v>611</v>
      </c>
    </row>
    <row r="50" spans="1:3" x14ac:dyDescent="0.25">
      <c r="A50" s="1" t="s">
        <v>612</v>
      </c>
      <c r="B50">
        <v>460</v>
      </c>
      <c r="C50" t="s">
        <v>613</v>
      </c>
    </row>
    <row r="51" spans="1:3" x14ac:dyDescent="0.25">
      <c r="A51" s="1" t="s">
        <v>614</v>
      </c>
      <c r="B51">
        <v>2</v>
      </c>
      <c r="C51" t="s">
        <v>615</v>
      </c>
    </row>
    <row r="52" spans="1:3" x14ac:dyDescent="0.25">
      <c r="A52" s="1" t="s">
        <v>616</v>
      </c>
      <c r="B52">
        <v>2</v>
      </c>
      <c r="C52" t="s">
        <v>617</v>
      </c>
    </row>
    <row r="53" spans="1:3" x14ac:dyDescent="0.25">
      <c r="A53" s="1" t="s">
        <v>618</v>
      </c>
      <c r="B53">
        <v>2</v>
      </c>
      <c r="C53" t="s">
        <v>619</v>
      </c>
    </row>
    <row r="54" spans="1:3" x14ac:dyDescent="0.25">
      <c r="A54" s="1" t="s">
        <v>620</v>
      </c>
      <c r="B54">
        <v>0.6</v>
      </c>
      <c r="C54" t="s">
        <v>621</v>
      </c>
    </row>
    <row r="55" spans="1:3" x14ac:dyDescent="0.25">
      <c r="A55" s="1" t="s">
        <v>622</v>
      </c>
      <c r="B55">
        <v>3</v>
      </c>
      <c r="C55" t="s">
        <v>623</v>
      </c>
    </row>
    <row r="56" spans="1:3" x14ac:dyDescent="0.25">
      <c r="A56" s="1" t="s">
        <v>624</v>
      </c>
      <c r="B56">
        <v>5</v>
      </c>
      <c r="C56" t="s">
        <v>625</v>
      </c>
    </row>
    <row r="57" spans="1:3" x14ac:dyDescent="0.25">
      <c r="A57" s="1" t="s">
        <v>626</v>
      </c>
      <c r="B57">
        <v>350</v>
      </c>
      <c r="C57" t="s">
        <v>627</v>
      </c>
    </row>
    <row r="58" spans="1:3" x14ac:dyDescent="0.25">
      <c r="A58" s="1" t="s">
        <v>628</v>
      </c>
      <c r="B58">
        <v>40</v>
      </c>
      <c r="C58" t="s">
        <v>629</v>
      </c>
    </row>
    <row r="59" spans="1:3" x14ac:dyDescent="0.25">
      <c r="A59" s="1" t="s">
        <v>630</v>
      </c>
      <c r="B59">
        <v>8</v>
      </c>
      <c r="C59" t="s">
        <v>631</v>
      </c>
    </row>
    <row r="60" spans="1:3" x14ac:dyDescent="0.25">
      <c r="A60" s="1" t="s">
        <v>632</v>
      </c>
      <c r="B60">
        <v>0.35</v>
      </c>
      <c r="C60" t="s">
        <v>633</v>
      </c>
    </row>
    <row r="61" spans="1:3" x14ac:dyDescent="0.25">
      <c r="A61" s="1" t="s">
        <v>634</v>
      </c>
      <c r="B61">
        <v>0.035</v>
      </c>
      <c r="C61" t="s">
        <v>635</v>
      </c>
    </row>
    <row r="62" spans="1:3" x14ac:dyDescent="0.25">
      <c r="A62" s="1" t="s">
        <v>636</v>
      </c>
      <c r="B62">
        <v>0.006</v>
      </c>
      <c r="C62" t="s">
        <v>637</v>
      </c>
    </row>
    <row r="63" spans="1:3" x14ac:dyDescent="0.25">
      <c r="A63" s="1" t="s">
        <v>638</v>
      </c>
      <c r="B63">
        <v>30</v>
      </c>
      <c r="C63" t="s">
        <v>639</v>
      </c>
    </row>
    <row r="64" spans="1:3" x14ac:dyDescent="0.25">
      <c r="A64" s="1" t="s">
        <v>640</v>
      </c>
      <c r="B64">
        <v>40</v>
      </c>
      <c r="C64" t="s">
        <v>641</v>
      </c>
    </row>
    <row r="65" spans="1:3" x14ac:dyDescent="0.25">
      <c r="A65" s="1" t="s">
        <v>642</v>
      </c>
      <c r="B65">
        <v>5</v>
      </c>
      <c r="C65" t="s">
        <v>643</v>
      </c>
    </row>
    <row r="66" spans="1:3" x14ac:dyDescent="0.25">
      <c r="A66" s="1" t="s">
        <v>644</v>
      </c>
      <c r="B66">
        <v>4</v>
      </c>
      <c r="C66" t="s">
        <v>645</v>
      </c>
    </row>
    <row r="67" spans="1:3" x14ac:dyDescent="0.25">
      <c r="A67" s="1" t="s">
        <v>646</v>
      </c>
      <c r="B67">
        <v>2.5</v>
      </c>
      <c r="C67" t="s">
        <v>647</v>
      </c>
    </row>
    <row r="68" spans="1:3" x14ac:dyDescent="0.25">
      <c r="A68" s="1" t="s">
        <v>648</v>
      </c>
      <c r="B68">
        <v>0.3</v>
      </c>
      <c r="C68" t="s">
        <v>649</v>
      </c>
    </row>
    <row r="69" spans="1:3" x14ac:dyDescent="0.25">
      <c r="A69" s="1" t="s">
        <v>650</v>
      </c>
      <c r="B69">
        <v>25</v>
      </c>
      <c r="C69" t="s">
        <v>651</v>
      </c>
    </row>
    <row r="70" spans="1:3" x14ac:dyDescent="0.25">
      <c r="A70" s="1" t="s">
        <v>652</v>
      </c>
      <c r="B70">
        <v>20</v>
      </c>
      <c r="C70" t="s">
        <v>653</v>
      </c>
    </row>
    <row r="71" spans="1:3" x14ac:dyDescent="0.25">
      <c r="A71" s="1" t="s">
        <v>654</v>
      </c>
      <c r="B71">
        <v>25</v>
      </c>
      <c r="C71" t="s">
        <v>655</v>
      </c>
    </row>
    <row r="72" spans="1:3" x14ac:dyDescent="0.25">
      <c r="A72" s="1" t="s">
        <v>656</v>
      </c>
      <c r="B72">
        <v>0.3</v>
      </c>
      <c r="C72" t="s">
        <v>657</v>
      </c>
    </row>
    <row r="73" spans="1:3" x14ac:dyDescent="0.25">
      <c r="A73" s="1" t="s">
        <v>658</v>
      </c>
      <c r="B73">
        <v>1.5</v>
      </c>
      <c r="C73" t="s">
        <v>659</v>
      </c>
    </row>
    <row r="74" spans="1:3" x14ac:dyDescent="0.25">
      <c r="A74" s="1" t="s">
        <v>660</v>
      </c>
      <c r="B74">
        <v>60</v>
      </c>
      <c r="C74" t="s">
        <v>661</v>
      </c>
    </row>
    <row r="75" spans="1:3" x14ac:dyDescent="0.25">
      <c r="A75" s="1" t="s">
        <v>662</v>
      </c>
      <c r="B75">
        <v>300</v>
      </c>
      <c r="C75" t="s">
        <v>663</v>
      </c>
    </row>
    <row r="76" spans="1:3" x14ac:dyDescent="0.25">
      <c r="A76" s="1" t="s">
        <v>664</v>
      </c>
      <c r="B76">
        <v>0.25</v>
      </c>
      <c r="C76" t="s">
        <v>665</v>
      </c>
    </row>
    <row r="77" spans="1:3" x14ac:dyDescent="0.25">
      <c r="A77" s="1" t="s">
        <v>666</v>
      </c>
      <c r="B77">
        <v>0.5</v>
      </c>
      <c r="C77" t="s">
        <v>667</v>
      </c>
    </row>
    <row r="78" spans="1:3" x14ac:dyDescent="0.25">
      <c r="A78" s="1" t="s">
        <v>668</v>
      </c>
      <c r="B78">
        <v>0.7</v>
      </c>
      <c r="C78" t="s">
        <v>669</v>
      </c>
    </row>
    <row r="79" spans="1:3" x14ac:dyDescent="0.25">
      <c r="A79" s="1" t="s">
        <v>670</v>
      </c>
      <c r="B79">
        <v>0.8</v>
      </c>
      <c r="C79" t="s">
        <v>671</v>
      </c>
    </row>
    <row r="80" spans="1:3" x14ac:dyDescent="0.25">
      <c r="A80" s="1" t="s">
        <v>672</v>
      </c>
      <c r="B80">
        <v>0.4</v>
      </c>
      <c r="C80" t="s">
        <v>673</v>
      </c>
    </row>
    <row r="81" spans="1:3" x14ac:dyDescent="0.25">
      <c r="A81" s="1" t="s">
        <v>674</v>
      </c>
      <c r="B81">
        <v>60</v>
      </c>
      <c r="C81" t="s">
        <v>675</v>
      </c>
    </row>
    <row r="82" spans="1:3" x14ac:dyDescent="0.25">
      <c r="A82" s="1" t="s">
        <v>676</v>
      </c>
      <c r="B82">
        <v>20</v>
      </c>
      <c r="C82" t="s">
        <v>677</v>
      </c>
    </row>
    <row r="83" spans="1:3" x14ac:dyDescent="0.25">
      <c r="A83" s="1" t="s">
        <v>678</v>
      </c>
      <c r="B83">
        <v>1.4</v>
      </c>
      <c r="C83" t="s">
        <v>679</v>
      </c>
    </row>
    <row r="84" spans="1:3" x14ac:dyDescent="0.25">
      <c r="A84" s="1" t="s">
        <v>680</v>
      </c>
      <c r="B84">
        <v>10</v>
      </c>
      <c r="C84" t="s">
        <v>681</v>
      </c>
    </row>
    <row r="85" spans="1:3" x14ac:dyDescent="0.25">
      <c r="A85" s="1" t="s">
        <v>682</v>
      </c>
      <c r="B85">
        <v>0.12</v>
      </c>
      <c r="C85" t="s">
        <v>683</v>
      </c>
    </row>
    <row r="86" spans="1:3" x14ac:dyDescent="0.25">
      <c r="A86" s="1" t="s">
        <v>684</v>
      </c>
      <c r="B86">
        <v>3.5</v>
      </c>
      <c r="C86" t="s">
        <v>685</v>
      </c>
    </row>
    <row r="87" spans="1:3" x14ac:dyDescent="0.25">
      <c r="A87" s="1" t="s">
        <v>686</v>
      </c>
      <c r="B87">
        <v>30</v>
      </c>
      <c r="C87" t="s">
        <v>687</v>
      </c>
    </row>
    <row r="88" spans="1:3" x14ac:dyDescent="0.25">
      <c r="A88" s="1" t="s">
        <v>688</v>
      </c>
      <c r="B88">
        <v>25</v>
      </c>
      <c r="C88" t="s">
        <v>689</v>
      </c>
    </row>
    <row r="89" spans="1:3" x14ac:dyDescent="0.25">
      <c r="A89" s="1" t="s">
        <v>690</v>
      </c>
      <c r="B89">
        <v>3</v>
      </c>
      <c r="C89" t="s">
        <v>691</v>
      </c>
    </row>
    <row r="90" spans="1:3" x14ac:dyDescent="0.25">
      <c r="A90" s="1" t="s">
        <v>692</v>
      </c>
      <c r="B90">
        <v>0.1</v>
      </c>
      <c r="C90" t="s">
        <v>693</v>
      </c>
    </row>
    <row r="91" spans="1:3" x14ac:dyDescent="0.25">
      <c r="A91" s="1" t="s">
        <v>694</v>
      </c>
      <c r="B91">
        <v>18</v>
      </c>
      <c r="C91" t="s">
        <v>695</v>
      </c>
    </row>
    <row r="92" spans="1:3" x14ac:dyDescent="0.25">
      <c r="A92" s="1" t="s">
        <v>696</v>
      </c>
      <c r="B92">
        <v>0.4</v>
      </c>
      <c r="C92" t="s">
        <v>697</v>
      </c>
    </row>
    <row r="93" spans="1:3" x14ac:dyDescent="0.25">
      <c r="A93" s="1" t="s">
        <v>698</v>
      </c>
      <c r="B93">
        <v>14</v>
      </c>
      <c r="C93" t="s">
        <v>699</v>
      </c>
    </row>
    <row r="94" spans="1:3" x14ac:dyDescent="0.25">
      <c r="A94" s="1" t="s">
        <v>700</v>
      </c>
      <c r="B94">
        <v>2</v>
      </c>
      <c r="C94" t="s">
        <v>701</v>
      </c>
    </row>
    <row r="95" spans="1:3" x14ac:dyDescent="0.25">
      <c r="A95" s="1" t="s">
        <v>702</v>
      </c>
      <c r="B95">
        <v>25</v>
      </c>
      <c r="C95" t="s">
        <v>703</v>
      </c>
    </row>
    <row r="96" spans="1:3" x14ac:dyDescent="0.25">
      <c r="A96" s="1" t="s">
        <v>704</v>
      </c>
      <c r="B96">
        <v>3</v>
      </c>
      <c r="C96" t="s">
        <v>705</v>
      </c>
    </row>
    <row r="97" spans="1:3" x14ac:dyDescent="0.25">
      <c r="A97" s="1" t="s">
        <v>706</v>
      </c>
      <c r="B97">
        <v>0.08</v>
      </c>
      <c r="C97" t="s">
        <v>707</v>
      </c>
    </row>
    <row r="98" spans="1:3" x14ac:dyDescent="0.25">
      <c r="A98" s="1" t="s">
        <v>708</v>
      </c>
      <c r="B98">
        <v>0.15</v>
      </c>
      <c r="C98" t="s">
        <v>709</v>
      </c>
    </row>
    <row r="99" spans="1:3" x14ac:dyDescent="0.25">
      <c r="A99" s="1" t="s">
        <v>710</v>
      </c>
      <c r="B99">
        <v>0.4</v>
      </c>
      <c r="C99" t="s">
        <v>711</v>
      </c>
    </row>
    <row r="100" spans="1:3" x14ac:dyDescent="0.25">
      <c r="A100" s="1" t="s">
        <v>712</v>
      </c>
      <c r="B100">
        <v>40</v>
      </c>
      <c r="C100" t="s">
        <v>713</v>
      </c>
    </row>
    <row r="101" spans="1:3" x14ac:dyDescent="0.25">
      <c r="A101" s="1" t="s">
        <v>714</v>
      </c>
      <c r="B101">
        <v>1.55</v>
      </c>
      <c r="C101" t="s">
        <v>715</v>
      </c>
    </row>
    <row r="102" spans="1:3" x14ac:dyDescent="0.25">
      <c r="A102" s="1" t="s">
        <v>716</v>
      </c>
      <c r="B102">
        <v>1.8</v>
      </c>
      <c r="C102" t="s">
        <v>717</v>
      </c>
    </row>
    <row r="103" spans="1:3" x14ac:dyDescent="0.25">
      <c r="A103" s="1" t="s">
        <v>718</v>
      </c>
      <c r="B103">
        <v>3</v>
      </c>
      <c r="C103" t="s">
        <v>719</v>
      </c>
    </row>
    <row r="104" spans="1:3" x14ac:dyDescent="0.25">
      <c r="A104" s="1" t="s">
        <v>720</v>
      </c>
      <c r="B104">
        <v>1.3</v>
      </c>
      <c r="C104" t="s">
        <v>721</v>
      </c>
    </row>
    <row r="105" spans="1:3" x14ac:dyDescent="0.25">
      <c r="A105" s="1" t="s">
        <v>722</v>
      </c>
      <c r="B105">
        <v>1.4</v>
      </c>
      <c r="C105" t="s">
        <v>723</v>
      </c>
    </row>
    <row r="106" spans="1:3" x14ac:dyDescent="0.25">
      <c r="A106" s="1" t="s">
        <v>724</v>
      </c>
      <c r="B106">
        <v>5</v>
      </c>
      <c r="C106" t="s">
        <v>725</v>
      </c>
    </row>
    <row r="107" spans="1:3" x14ac:dyDescent="0.25">
      <c r="A107" s="1" t="s">
        <v>726</v>
      </c>
      <c r="B107">
        <v>0.3</v>
      </c>
      <c r="C107" t="s">
        <v>727</v>
      </c>
    </row>
    <row r="108" spans="1:3" x14ac:dyDescent="0.25">
      <c r="A108" s="1" t="s">
        <v>728</v>
      </c>
      <c r="B108">
        <v>1.3</v>
      </c>
      <c r="C108" t="s">
        <v>729</v>
      </c>
    </row>
    <row r="109" spans="1:3" x14ac:dyDescent="0.25">
      <c r="A109" s="1" t="s">
        <v>730</v>
      </c>
      <c r="B109">
        <v>1.6</v>
      </c>
      <c r="C109" t="s">
        <v>731</v>
      </c>
    </row>
    <row r="110" spans="1:3" x14ac:dyDescent="0.25">
      <c r="A110" s="1" t="s">
        <v>732</v>
      </c>
      <c r="B110">
        <v>1.8</v>
      </c>
      <c r="C110" t="s">
        <v>733</v>
      </c>
    </row>
    <row r="111" spans="1:3" x14ac:dyDescent="0.25">
      <c r="A111" s="1" t="s">
        <v>734</v>
      </c>
      <c r="B111">
        <v>0.4</v>
      </c>
      <c r="C111" t="s">
        <v>735</v>
      </c>
    </row>
    <row r="112" spans="1:3" x14ac:dyDescent="0.25">
      <c r="A112" s="1" t="s">
        <v>736</v>
      </c>
      <c r="B112">
        <v>0.8</v>
      </c>
      <c r="C112" t="s">
        <v>737</v>
      </c>
    </row>
    <row r="113" spans="1:3" x14ac:dyDescent="0.25">
      <c r="A113" s="1" t="s">
        <v>738</v>
      </c>
      <c r="B113">
        <v>0.6</v>
      </c>
      <c r="C113" t="s">
        <v>739</v>
      </c>
    </row>
    <row r="114" spans="1:3" x14ac:dyDescent="0.25">
      <c r="A114" s="1" t="s">
        <v>740</v>
      </c>
      <c r="B114">
        <v>14</v>
      </c>
      <c r="C114" t="s">
        <v>741</v>
      </c>
    </row>
    <row r="115" spans="1:3" x14ac:dyDescent="0.25">
      <c r="A115" s="1" t="s">
        <v>742</v>
      </c>
      <c r="B115">
        <v>2</v>
      </c>
      <c r="C115" t="s">
        <v>743</v>
      </c>
    </row>
    <row r="116" spans="1:3" x14ac:dyDescent="0.25">
      <c r="A116" s="1" t="s">
        <v>744</v>
      </c>
      <c r="B116">
        <v>0.2</v>
      </c>
      <c r="C116" t="s">
        <v>745</v>
      </c>
    </row>
    <row r="117" spans="1:3" x14ac:dyDescent="0.25">
      <c r="A117" s="1" t="s">
        <v>746</v>
      </c>
      <c r="B117">
        <v>0.1</v>
      </c>
      <c r="C117" t="s">
        <v>747</v>
      </c>
    </row>
    <row r="118" spans="1:3" x14ac:dyDescent="0.25">
      <c r="A118" s="1" t="s">
        <v>748</v>
      </c>
      <c r="B118">
        <v>0.1</v>
      </c>
      <c r="C118" t="s">
        <v>749</v>
      </c>
    </row>
    <row r="119" spans="1:3" x14ac:dyDescent="0.25">
      <c r="A119" s="1" t="s">
        <v>750</v>
      </c>
      <c r="B119">
        <v>1.5</v>
      </c>
      <c r="C119" t="s">
        <v>751</v>
      </c>
    </row>
    <row r="120" spans="1:3" x14ac:dyDescent="0.25">
      <c r="A120" s="1" t="s">
        <v>752</v>
      </c>
      <c r="B120">
        <v>8</v>
      </c>
      <c r="C120" t="s">
        <v>753</v>
      </c>
    </row>
    <row r="121" spans="1:3" x14ac:dyDescent="0.25">
      <c r="A121" s="1" t="s">
        <v>754</v>
      </c>
      <c r="B121">
        <v>0.1</v>
      </c>
      <c r="C121" t="s">
        <v>755</v>
      </c>
    </row>
    <row r="122" spans="1:3" x14ac:dyDescent="0.25">
      <c r="A122" s="1" t="s">
        <v>756</v>
      </c>
      <c r="B122">
        <v>100</v>
      </c>
      <c r="C122" t="s">
        <v>757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384</v>
      </c>
      <c r="C1" s="3" t="s">
        <v>385</v>
      </c>
    </row>
    <row r="2" ht="78" customHeight="1" spans="1:3" x14ac:dyDescent="0.25">
      <c r="A2" s="4" t="s">
        <v>145</v>
      </c>
      <c r="B2" s="5" t="s">
        <v>386</v>
      </c>
      <c r="C2" s="5" t="s">
        <v>387</v>
      </c>
    </row>
    <row r="3" spans="1:3" x14ac:dyDescent="0.25">
      <c r="A3" s="1" t="s">
        <v>758</v>
      </c>
      <c r="B3">
        <v>0.45</v>
      </c>
      <c r="C3" t="s">
        <v>759</v>
      </c>
    </row>
    <row r="4" spans="1:3" x14ac:dyDescent="0.25">
      <c r="A4" s="1" t="s">
        <v>760</v>
      </c>
      <c r="B4">
        <v>0.8</v>
      </c>
      <c r="C4" t="s">
        <v>761</v>
      </c>
    </row>
    <row r="5" spans="1:3" x14ac:dyDescent="0.25">
      <c r="A5" s="1" t="s">
        <v>762</v>
      </c>
      <c r="B5">
        <v>0.5</v>
      </c>
      <c r="C5" t="s">
        <v>763</v>
      </c>
    </row>
    <row r="6" spans="1:3" x14ac:dyDescent="0.25">
      <c r="A6" s="1" t="s">
        <v>764</v>
      </c>
      <c r="B6">
        <v>0.5</v>
      </c>
      <c r="C6" t="s">
        <v>765</v>
      </c>
    </row>
    <row r="7" spans="1:3" x14ac:dyDescent="0.25">
      <c r="A7" s="1" t="s">
        <v>766</v>
      </c>
      <c r="B7">
        <v>1.5</v>
      </c>
      <c r="C7" t="s">
        <v>767</v>
      </c>
    </row>
    <row r="8" spans="1:3" x14ac:dyDescent="0.25">
      <c r="A8" s="1" t="s">
        <v>768</v>
      </c>
      <c r="B8">
        <v>1.2</v>
      </c>
      <c r="C8" t="s">
        <v>769</v>
      </c>
    </row>
    <row r="9" spans="1:3" x14ac:dyDescent="0.25">
      <c r="A9" s="1" t="s">
        <v>770</v>
      </c>
      <c r="B9">
        <v>1.7</v>
      </c>
      <c r="C9" t="s">
        <v>771</v>
      </c>
    </row>
    <row r="10" spans="1:3" x14ac:dyDescent="0.25">
      <c r="A10" s="1" t="s">
        <v>772</v>
      </c>
      <c r="B10">
        <v>7</v>
      </c>
      <c r="C10" t="s">
        <v>773</v>
      </c>
    </row>
    <row r="11" spans="1:3" x14ac:dyDescent="0.25">
      <c r="A11" s="1" t="s">
        <v>774</v>
      </c>
      <c r="B11">
        <v>16</v>
      </c>
      <c r="C11" t="s">
        <v>775</v>
      </c>
    </row>
    <row r="12" spans="1:3" x14ac:dyDescent="0.25">
      <c r="A12" s="1" t="s">
        <v>776</v>
      </c>
      <c r="B12">
        <v>25</v>
      </c>
      <c r="C12" t="s">
        <v>777</v>
      </c>
    </row>
    <row r="13" spans="1:3" x14ac:dyDescent="0.25">
      <c r="A13" s="1" t="s">
        <v>778</v>
      </c>
      <c r="B13">
        <v>11</v>
      </c>
      <c r="C13" t="s">
        <v>779</v>
      </c>
    </row>
    <row r="14" spans="1:3" x14ac:dyDescent="0.25">
      <c r="A14" s="1" t="s">
        <v>780</v>
      </c>
      <c r="B14">
        <v>10</v>
      </c>
      <c r="C14" t="s">
        <v>781</v>
      </c>
    </row>
    <row r="15" spans="1:3" x14ac:dyDescent="0.25">
      <c r="A15" s="1" t="s">
        <v>782</v>
      </c>
      <c r="B15">
        <v>1.2</v>
      </c>
      <c r="C15" t="s">
        <v>783</v>
      </c>
    </row>
    <row r="16" spans="1:3" x14ac:dyDescent="0.25">
      <c r="A16" s="1" t="s">
        <v>784</v>
      </c>
      <c r="B16">
        <v>1</v>
      </c>
      <c r="C16" t="s">
        <v>785</v>
      </c>
    </row>
    <row r="17" spans="1:3" x14ac:dyDescent="0.25">
      <c r="A17" s="1" t="s">
        <v>786</v>
      </c>
      <c r="B17">
        <v>2.6</v>
      </c>
      <c r="C17" t="s">
        <v>787</v>
      </c>
    </row>
    <row r="18" spans="1:3" x14ac:dyDescent="0.25">
      <c r="A18" s="1" t="s">
        <v>788</v>
      </c>
      <c r="B18">
        <v>1.4</v>
      </c>
      <c r="C18" t="s">
        <v>789</v>
      </c>
    </row>
    <row r="19" spans="1:3" x14ac:dyDescent="0.25">
      <c r="A19" s="1" t="s">
        <v>790</v>
      </c>
      <c r="B19">
        <v>16</v>
      </c>
      <c r="C19" t="s">
        <v>791</v>
      </c>
    </row>
    <row r="20" spans="1:3" x14ac:dyDescent="0.25">
      <c r="A20" s="1" t="s">
        <v>792</v>
      </c>
      <c r="B20">
        <v>2.6</v>
      </c>
      <c r="C20" t="s">
        <v>793</v>
      </c>
    </row>
    <row r="21" spans="1:3" x14ac:dyDescent="0.25">
      <c r="A21" s="1" t="s">
        <v>794</v>
      </c>
      <c r="B21">
        <v>4</v>
      </c>
      <c r="C21" t="s">
        <v>795</v>
      </c>
    </row>
    <row r="22" spans="1:3" x14ac:dyDescent="0.25">
      <c r="A22" s="1" t="s">
        <v>796</v>
      </c>
      <c r="B22">
        <v>3</v>
      </c>
      <c r="C22" t="s">
        <v>797</v>
      </c>
    </row>
    <row r="23" spans="1:3" x14ac:dyDescent="0.25">
      <c r="A23" s="1" t="s">
        <v>798</v>
      </c>
      <c r="B23">
        <v>1.5</v>
      </c>
      <c r="C23" t="s">
        <v>799</v>
      </c>
    </row>
    <row r="24" spans="1:3" x14ac:dyDescent="0.25">
      <c r="A24" s="1" t="s">
        <v>800</v>
      </c>
      <c r="B24">
        <v>1.7</v>
      </c>
      <c r="C24" t="s">
        <v>801</v>
      </c>
    </row>
    <row r="25" spans="1:3" x14ac:dyDescent="0.25">
      <c r="A25" s="1" t="s">
        <v>802</v>
      </c>
      <c r="B25">
        <v>0.7</v>
      </c>
      <c r="C25" t="s">
        <v>803</v>
      </c>
    </row>
    <row r="26" spans="1:3" x14ac:dyDescent="0.25">
      <c r="A26" s="1" t="s">
        <v>804</v>
      </c>
      <c r="B26">
        <v>3</v>
      </c>
      <c r="C26" t="s">
        <v>805</v>
      </c>
    </row>
    <row r="27" spans="1:3" x14ac:dyDescent="0.25">
      <c r="A27" s="1" t="s">
        <v>806</v>
      </c>
      <c r="B27">
        <v>3</v>
      </c>
      <c r="C27" t="s">
        <v>807</v>
      </c>
    </row>
    <row r="28" spans="1:3" x14ac:dyDescent="0.25">
      <c r="A28" s="1" t="s">
        <v>808</v>
      </c>
      <c r="B28">
        <v>5</v>
      </c>
      <c r="C28" t="s">
        <v>809</v>
      </c>
    </row>
    <row r="29" spans="1:3" x14ac:dyDescent="0.25">
      <c r="A29" s="1" t="s">
        <v>810</v>
      </c>
      <c r="B29">
        <v>1.1</v>
      </c>
      <c r="C29" t="s">
        <v>811</v>
      </c>
    </row>
    <row r="30" spans="1:3" x14ac:dyDescent="0.25">
      <c r="A30" s="1" t="s">
        <v>812</v>
      </c>
      <c r="B30">
        <v>6</v>
      </c>
      <c r="C30" t="s">
        <v>813</v>
      </c>
    </row>
    <row r="31" spans="1:3" x14ac:dyDescent="0.25">
      <c r="A31" s="1" t="s">
        <v>814</v>
      </c>
      <c r="B31">
        <v>0.16</v>
      </c>
      <c r="C31" t="s">
        <v>815</v>
      </c>
    </row>
    <row r="32" spans="1:3" x14ac:dyDescent="0.25">
      <c r="A32" s="1" t="s">
        <v>816</v>
      </c>
      <c r="B32">
        <v>3</v>
      </c>
      <c r="C32" t="s">
        <v>817</v>
      </c>
    </row>
    <row r="33" spans="1:3" x14ac:dyDescent="0.25">
      <c r="A33" s="1" t="s">
        <v>818</v>
      </c>
      <c r="B33">
        <v>1.3</v>
      </c>
      <c r="C33" t="s">
        <v>819</v>
      </c>
    </row>
    <row r="34" spans="1:3" x14ac:dyDescent="0.25">
      <c r="A34" s="1" t="s">
        <v>820</v>
      </c>
      <c r="B34">
        <v>22</v>
      </c>
      <c r="C34" t="s">
        <v>821</v>
      </c>
    </row>
    <row r="35" spans="1:3" x14ac:dyDescent="0.25">
      <c r="A35" s="1" t="s">
        <v>822</v>
      </c>
      <c r="B35">
        <v>2.5</v>
      </c>
      <c r="C35" t="s">
        <v>823</v>
      </c>
    </row>
    <row r="36" spans="1:3" x14ac:dyDescent="0.25">
      <c r="A36" s="1" t="s">
        <v>824</v>
      </c>
      <c r="B36">
        <v>0.5</v>
      </c>
      <c r="C36" t="s">
        <v>825</v>
      </c>
    </row>
    <row r="37" spans="1:3" x14ac:dyDescent="0.25">
      <c r="A37" s="1" t="s">
        <v>826</v>
      </c>
      <c r="B37">
        <v>20</v>
      </c>
      <c r="C37" t="s">
        <v>827</v>
      </c>
    </row>
    <row r="38" spans="1:3" x14ac:dyDescent="0.25">
      <c r="A38" s="1" t="s">
        <v>828</v>
      </c>
      <c r="B38">
        <v>1.4</v>
      </c>
      <c r="C38" t="s">
        <v>829</v>
      </c>
    </row>
    <row r="39" spans="1:3" x14ac:dyDescent="0.25">
      <c r="A39" s="1" t="s">
        <v>830</v>
      </c>
      <c r="B39">
        <v>2.6</v>
      </c>
      <c r="C39" t="s">
        <v>831</v>
      </c>
    </row>
    <row r="40" spans="1:3" x14ac:dyDescent="0.25">
      <c r="A40" s="1" t="s">
        <v>832</v>
      </c>
      <c r="B40">
        <v>2</v>
      </c>
      <c r="C40" t="s">
        <v>833</v>
      </c>
    </row>
    <row r="41" spans="1:3" x14ac:dyDescent="0.25">
      <c r="A41" s="1" t="s">
        <v>834</v>
      </c>
      <c r="B41">
        <v>9</v>
      </c>
      <c r="C41" t="s">
        <v>835</v>
      </c>
    </row>
    <row r="42" spans="1:3" x14ac:dyDescent="0.25">
      <c r="A42" s="1" t="s">
        <v>836</v>
      </c>
      <c r="B42">
        <v>12</v>
      </c>
      <c r="C42" t="s">
        <v>837</v>
      </c>
    </row>
    <row r="43" spans="1:3" x14ac:dyDescent="0.25">
      <c r="A43" s="1" t="s">
        <v>838</v>
      </c>
      <c r="B43">
        <v>0.8</v>
      </c>
      <c r="C43" t="s">
        <v>839</v>
      </c>
    </row>
    <row r="44" spans="1:3" x14ac:dyDescent="0.25">
      <c r="A44" s="1" t="s">
        <v>840</v>
      </c>
      <c r="B44">
        <v>3</v>
      </c>
      <c r="C44" t="s">
        <v>841</v>
      </c>
    </row>
    <row r="45" spans="1:3" x14ac:dyDescent="0.25">
      <c r="A45" s="1" t="s">
        <v>842</v>
      </c>
      <c r="B45">
        <v>0.3</v>
      </c>
      <c r="C45" t="s">
        <v>843</v>
      </c>
    </row>
    <row r="46" spans="1:3" x14ac:dyDescent="0.25">
      <c r="A46" s="1" t="s">
        <v>844</v>
      </c>
      <c r="B46">
        <v>7</v>
      </c>
      <c r="C46" t="s">
        <v>845</v>
      </c>
    </row>
    <row r="47" spans="1:3" x14ac:dyDescent="0.25">
      <c r="A47" s="1" t="s">
        <v>846</v>
      </c>
      <c r="B47">
        <v>0.2</v>
      </c>
      <c r="C47" t="s">
        <v>847</v>
      </c>
    </row>
    <row r="48" spans="1:3" x14ac:dyDescent="0.25">
      <c r="A48" s="1" t="s">
        <v>848</v>
      </c>
      <c r="B48">
        <v>3.5</v>
      </c>
      <c r="C48" t="s">
        <v>849</v>
      </c>
    </row>
    <row r="49" spans="1:3" x14ac:dyDescent="0.25">
      <c r="A49" s="1" t="s">
        <v>850</v>
      </c>
      <c r="B49">
        <v>16</v>
      </c>
      <c r="C49" t="s">
        <v>851</v>
      </c>
    </row>
    <row r="50" spans="1:3" x14ac:dyDescent="0.25">
      <c r="A50" s="1" t="s">
        <v>852</v>
      </c>
      <c r="B50">
        <v>1</v>
      </c>
      <c r="C50" t="s">
        <v>853</v>
      </c>
    </row>
    <row r="51" spans="1:3" x14ac:dyDescent="0.25">
      <c r="A51" s="1" t="s">
        <v>854</v>
      </c>
      <c r="B51">
        <v>10</v>
      </c>
      <c r="C51" t="s">
        <v>855</v>
      </c>
    </row>
    <row r="52" spans="1:3" x14ac:dyDescent="0.25">
      <c r="A52" s="1" t="s">
        <v>856</v>
      </c>
      <c r="B52">
        <v>2.2</v>
      </c>
      <c r="C52" t="s">
        <v>857</v>
      </c>
    </row>
    <row r="53" spans="1:3" x14ac:dyDescent="0.25">
      <c r="A53" s="1" t="s">
        <v>858</v>
      </c>
      <c r="B53">
        <v>4</v>
      </c>
      <c r="C53" t="s">
        <v>859</v>
      </c>
    </row>
    <row r="54" spans="1:3" x14ac:dyDescent="0.25">
      <c r="A54" s="1" t="s">
        <v>860</v>
      </c>
      <c r="B54">
        <v>14</v>
      </c>
      <c r="C54" t="s">
        <v>861</v>
      </c>
    </row>
    <row r="55" spans="1:3" x14ac:dyDescent="0.25">
      <c r="A55" s="1" t="s">
        <v>862</v>
      </c>
      <c r="B55">
        <v>8</v>
      </c>
      <c r="C55" t="s">
        <v>863</v>
      </c>
    </row>
    <row r="56" spans="1:3" x14ac:dyDescent="0.25">
      <c r="A56" s="1" t="s">
        <v>864</v>
      </c>
      <c r="B56">
        <v>28</v>
      </c>
      <c r="C56" t="s">
        <v>865</v>
      </c>
    </row>
    <row r="57" spans="1:3" x14ac:dyDescent="0.25">
      <c r="A57" s="1" t="s">
        <v>866</v>
      </c>
      <c r="B57">
        <v>6</v>
      </c>
      <c r="C57" t="s">
        <v>867</v>
      </c>
    </row>
    <row r="58" spans="1:3" x14ac:dyDescent="0.25">
      <c r="A58" s="1" t="s">
        <v>868</v>
      </c>
      <c r="B58">
        <v>0.5</v>
      </c>
      <c r="C58" t="s">
        <v>869</v>
      </c>
    </row>
    <row r="59" spans="1:3" x14ac:dyDescent="0.25">
      <c r="A59" s="1" t="s">
        <v>870</v>
      </c>
      <c r="B59">
        <v>45</v>
      </c>
      <c r="C59" t="s">
        <v>871</v>
      </c>
    </row>
    <row r="60" spans="1:3" x14ac:dyDescent="0.25">
      <c r="A60" s="1" t="s">
        <v>872</v>
      </c>
      <c r="B60">
        <v>0.4</v>
      </c>
      <c r="C60" t="s">
        <v>873</v>
      </c>
    </row>
    <row r="61" spans="1:3" x14ac:dyDescent="0.25">
      <c r="A61" s="1" t="s">
        <v>874</v>
      </c>
      <c r="B61">
        <v>0.35</v>
      </c>
      <c r="C61" t="s">
        <v>875</v>
      </c>
    </row>
    <row r="62" spans="1:3" x14ac:dyDescent="0.25">
      <c r="A62" s="1" t="s">
        <v>876</v>
      </c>
      <c r="B62">
        <v>1</v>
      </c>
      <c r="C62" t="s">
        <v>877</v>
      </c>
    </row>
    <row r="63" spans="1:3" x14ac:dyDescent="0.25">
      <c r="A63" s="1" t="s">
        <v>878</v>
      </c>
      <c r="B63">
        <v>24</v>
      </c>
      <c r="C63" t="s">
        <v>879</v>
      </c>
    </row>
    <row r="64" spans="1:3" x14ac:dyDescent="0.25">
      <c r="A64" s="1" t="s">
        <v>880</v>
      </c>
      <c r="B64">
        <v>1.2</v>
      </c>
      <c r="C64" t="s">
        <v>881</v>
      </c>
    </row>
    <row r="65" spans="1:3" x14ac:dyDescent="0.25">
      <c r="A65" s="1" t="s">
        <v>882</v>
      </c>
      <c r="B65">
        <v>0.6</v>
      </c>
      <c r="C65" t="s">
        <v>883</v>
      </c>
    </row>
    <row r="66" spans="1:3" x14ac:dyDescent="0.25">
      <c r="A66" s="1" t="s">
        <v>884</v>
      </c>
      <c r="B66">
        <v>1.8</v>
      </c>
      <c r="C66" t="s">
        <v>885</v>
      </c>
    </row>
    <row r="67" spans="1:3" x14ac:dyDescent="0.25">
      <c r="A67" s="1" t="s">
        <v>886</v>
      </c>
      <c r="B67">
        <v>17</v>
      </c>
      <c r="C67" t="s">
        <v>887</v>
      </c>
    </row>
    <row r="68" spans="1:3" x14ac:dyDescent="0.25">
      <c r="A68" s="1" t="s">
        <v>888</v>
      </c>
      <c r="B68">
        <v>1.5</v>
      </c>
      <c r="C68" t="s">
        <v>889</v>
      </c>
    </row>
    <row r="69" spans="1:3" x14ac:dyDescent="0.25">
      <c r="A69" s="1" t="s">
        <v>890</v>
      </c>
      <c r="B69">
        <v>1.5</v>
      </c>
      <c r="C69" t="s">
        <v>891</v>
      </c>
    </row>
    <row r="70" spans="1:3" x14ac:dyDescent="0.25">
      <c r="A70" s="1" t="s">
        <v>892</v>
      </c>
      <c r="B70">
        <v>0.55</v>
      </c>
      <c r="C70" t="s">
        <v>893</v>
      </c>
    </row>
    <row r="71" spans="1:3" x14ac:dyDescent="0.25">
      <c r="A71" s="1" t="s">
        <v>894</v>
      </c>
      <c r="B71">
        <v>26</v>
      </c>
      <c r="C71" t="s">
        <v>895</v>
      </c>
    </row>
    <row r="72" spans="1:3" x14ac:dyDescent="0.25">
      <c r="A72" s="1" t="s">
        <v>896</v>
      </c>
      <c r="B72">
        <v>1.2</v>
      </c>
      <c r="C72" t="s">
        <v>897</v>
      </c>
    </row>
    <row r="73" spans="1:3" x14ac:dyDescent="0.25">
      <c r="A73" s="1" t="s">
        <v>898</v>
      </c>
      <c r="B73">
        <v>1.5</v>
      </c>
      <c r="C73" t="s">
        <v>899</v>
      </c>
    </row>
    <row r="74" spans="1:3" x14ac:dyDescent="0.25">
      <c r="A74" s="1" t="s">
        <v>900</v>
      </c>
      <c r="B74">
        <v>10</v>
      </c>
      <c r="C74" t="s">
        <v>901</v>
      </c>
    </row>
    <row r="75" spans="1:3" x14ac:dyDescent="0.25">
      <c r="A75" s="1" t="s">
        <v>902</v>
      </c>
      <c r="B75">
        <v>4</v>
      </c>
      <c r="C75" t="s">
        <v>903</v>
      </c>
    </row>
    <row r="76" spans="1:3" x14ac:dyDescent="0.25">
      <c r="A76" s="1" t="s">
        <v>904</v>
      </c>
      <c r="B76">
        <v>40</v>
      </c>
      <c r="C76" t="s">
        <v>905</v>
      </c>
    </row>
    <row r="77" spans="1:3" x14ac:dyDescent="0.25">
      <c r="A77" s="1" t="s">
        <v>906</v>
      </c>
      <c r="B77">
        <v>0.35</v>
      </c>
      <c r="C77" t="s">
        <v>907</v>
      </c>
    </row>
    <row r="78" spans="1:3" x14ac:dyDescent="0.25">
      <c r="A78" s="1" t="s">
        <v>908</v>
      </c>
      <c r="B78">
        <v>0.25</v>
      </c>
      <c r="C78" t="s">
        <v>909</v>
      </c>
    </row>
    <row r="79" spans="1:3" x14ac:dyDescent="0.25">
      <c r="A79" s="1" t="s">
        <v>910</v>
      </c>
      <c r="B79">
        <v>0.25</v>
      </c>
      <c r="C79" t="s">
        <v>911</v>
      </c>
    </row>
    <row r="80" spans="1:3" x14ac:dyDescent="0.25">
      <c r="A80" s="1" t="s">
        <v>912</v>
      </c>
      <c r="B80">
        <v>25</v>
      </c>
      <c r="C80" t="s">
        <v>913</v>
      </c>
    </row>
    <row r="81" spans="1:3" x14ac:dyDescent="0.25">
      <c r="A81" s="1" t="s">
        <v>914</v>
      </c>
      <c r="B81">
        <v>3.8</v>
      </c>
      <c r="C81" t="s">
        <v>915</v>
      </c>
    </row>
    <row r="82" spans="1:3" x14ac:dyDescent="0.25">
      <c r="A82" s="1" t="s">
        <v>916</v>
      </c>
      <c r="B82">
        <v>2.6</v>
      </c>
      <c r="C82" t="s">
        <v>917</v>
      </c>
    </row>
    <row r="83" spans="1:3" x14ac:dyDescent="0.25">
      <c r="A83" s="1" t="s">
        <v>918</v>
      </c>
      <c r="B83">
        <v>2.6</v>
      </c>
      <c r="C83" t="s">
        <v>919</v>
      </c>
    </row>
    <row r="84" spans="1:3" x14ac:dyDescent="0.25">
      <c r="A84" s="1" t="s">
        <v>920</v>
      </c>
      <c r="B84">
        <v>2.1</v>
      </c>
      <c r="C84" t="s">
        <v>921</v>
      </c>
    </row>
    <row r="85" spans="1:3" x14ac:dyDescent="0.25">
      <c r="A85" s="1" t="s">
        <v>922</v>
      </c>
      <c r="B85">
        <v>1.6</v>
      </c>
      <c r="C85" t="s">
        <v>923</v>
      </c>
    </row>
    <row r="86" spans="1:3" x14ac:dyDescent="0.25">
      <c r="A86" s="1" t="s">
        <v>924</v>
      </c>
      <c r="B86">
        <v>1.2</v>
      </c>
      <c r="C86" t="s">
        <v>925</v>
      </c>
    </row>
    <row r="87" spans="1:3" x14ac:dyDescent="0.25">
      <c r="A87" s="1" t="s">
        <v>926</v>
      </c>
      <c r="B87">
        <v>1</v>
      </c>
      <c r="C87" t="s">
        <v>927</v>
      </c>
    </row>
    <row r="88" spans="1:3" x14ac:dyDescent="0.25">
      <c r="A88" s="1" t="s">
        <v>928</v>
      </c>
      <c r="B88">
        <v>0.75</v>
      </c>
      <c r="C88" t="s">
        <v>917</v>
      </c>
    </row>
    <row r="89" spans="1:3" x14ac:dyDescent="0.25">
      <c r="A89" s="1" t="s">
        <v>929</v>
      </c>
      <c r="B89">
        <v>30</v>
      </c>
      <c r="C89" t="s">
        <v>930</v>
      </c>
    </row>
    <row r="90" spans="1:3" x14ac:dyDescent="0.25">
      <c r="A90" s="1" t="s">
        <v>931</v>
      </c>
      <c r="B90">
        <v>26</v>
      </c>
      <c r="C90" t="s">
        <v>932</v>
      </c>
    </row>
    <row r="91" spans="1:3" x14ac:dyDescent="0.25">
      <c r="A91" s="1" t="s">
        <v>933</v>
      </c>
      <c r="B91">
        <v>2.6</v>
      </c>
      <c r="C91" t="s">
        <v>934</v>
      </c>
    </row>
    <row r="92" spans="1:3" x14ac:dyDescent="0.25">
      <c r="A92" s="1" t="s">
        <v>935</v>
      </c>
      <c r="B92">
        <v>0.9</v>
      </c>
      <c r="C92" t="s">
        <v>936</v>
      </c>
    </row>
    <row r="93" spans="1:3" x14ac:dyDescent="0.25">
      <c r="A93" s="1" t="s">
        <v>937</v>
      </c>
      <c r="B93">
        <v>1.4</v>
      </c>
      <c r="C93" t="s">
        <v>938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workbookViewId="0">
      <pane xSplit="4" ySplit="12" topLeftCell="E13" activePane="bottomRight" state="frozen"/>
      <selection pane="bottomRight"/>
    </sheetView>
  </sheetViews>
  <sheetFormatPr defaultRowHeight="15" outlineLevelRow="0" outlineLevelCol="0" x14ac:dyDescent="55"/>
  <cols>
    <col min="1" max="1" width="62" customWidth="1"/>
    <col min="2" max="2" width="26" customWidth="1"/>
    <col min="3" max="3" width="12" customWidth="1"/>
    <col min="4" max="4" width="26" customWidth="1"/>
    <col min="5" max="29" width="13" customWidth="1"/>
  </cols>
  <sheetData>
    <row r="1" spans="1:1" x14ac:dyDescent="0.25">
      <c r="A1" s="6" t="s">
        <v>939</v>
      </c>
    </row>
    <row r="2" spans="1:1" x14ac:dyDescent="0.25">
      <c r="A2" t="s">
        <v>940</v>
      </c>
    </row>
    <row r="4" spans="1:2" x14ac:dyDescent="0.25">
      <c r="A4" t="s">
        <v>941</v>
      </c>
      <c r="B4" s="7">
        <v>0</v>
      </c>
    </row>
    <row r="5" spans="1:2" x14ac:dyDescent="0.25">
      <c r="A5" t="s">
        <v>942</v>
      </c>
      <c r="B5" s="7">
        <v>1</v>
      </c>
    </row>
    <row r="6" spans="1:2" x14ac:dyDescent="0.25">
      <c r="A6" t="s">
        <v>943</v>
      </c>
      <c r="B6" s="7" t="s">
        <v>177</v>
      </c>
    </row>
    <row r="7" spans="1:2" x14ac:dyDescent="0.25">
      <c r="A7" t="s">
        <v>944</v>
      </c>
      <c r="B7" s="7">
        <v>12</v>
      </c>
    </row>
    <row r="8" spans="1:2" x14ac:dyDescent="0.25">
      <c r="A8" t="s">
        <v>945</v>
      </c>
      <c r="B8" s="7">
        <v>1</v>
      </c>
    </row>
    <row r="9" spans="4:29" x14ac:dyDescent="0.25">
      <c r="D9" s="8" t="s">
        <v>311</v>
      </c>
      <c r="E9" s="8">
        <f>INDEX(armas!$B$3:$B$500,MATCH(E$10,armas!$A$3:$A$500,0))</f>
      </c>
      <c r="F9" s="8">
        <f>INDEX(armas!$B$3:$B$500,MATCH(F$10,armas!$A$3:$A$500,0))</f>
      </c>
      <c r="G9" s="8">
        <f>INDEX(armas!$B$3:$B$500,MATCH(G$10,armas!$A$3:$A$500,0))</f>
      </c>
      <c r="H9" s="8">
        <f>INDEX(armas!$B$3:$B$500,MATCH(H$10,armas!$A$3:$A$500,0))</f>
      </c>
      <c r="I9" s="8">
        <f>INDEX(armas!$B$3:$B$500,MATCH(I$10,armas!$A$3:$A$500,0))</f>
      </c>
      <c r="J9" s="8">
        <f>INDEX(armas!$B$3:$B$500,MATCH(J$10,armas!$A$3:$A$500,0))</f>
      </c>
      <c r="K9" s="8">
        <f>INDEX(armas!$B$3:$B$500,MATCH(K$10,armas!$A$3:$A$500,0))</f>
      </c>
      <c r="L9" s="8">
        <f>INDEX(armas!$B$3:$B$500,MATCH(L$10,armas!$A$3:$A$500,0))</f>
      </c>
      <c r="M9" s="8">
        <f>INDEX(armas!$B$3:$B$500,MATCH(M$10,armas!$A$3:$A$500,0))</f>
      </c>
      <c r="N9" s="8">
        <f>INDEX(armas!$B$3:$B$500,MATCH(N$10,armas!$A$3:$A$500,0))</f>
      </c>
      <c r="O9" s="8">
        <f>INDEX(armas!$B$3:$B$500,MATCH(O$10,armas!$A$3:$A$500,0))</f>
      </c>
      <c r="P9" s="8">
        <f>INDEX(armas!$B$3:$B$500,MATCH(P$10,armas!$A$3:$A$500,0))</f>
      </c>
      <c r="Q9" s="8">
        <f>INDEX(armas!$B$3:$B$500,MATCH(Q$10,armas!$A$3:$A$500,0))</f>
      </c>
      <c r="R9" s="8">
        <f>INDEX(armas!$B$3:$B$500,MATCH(R$10,armas!$A$3:$A$500,0))</f>
      </c>
      <c r="S9" s="8">
        <f>INDEX(armas!$B$3:$B$500,MATCH(S$10,armas!$A$3:$A$500,0))</f>
      </c>
      <c r="T9" s="8">
        <f>INDEX(armas!$B$3:$B$500,MATCH(T$10,armas!$A$3:$A$500,0))</f>
      </c>
      <c r="U9" s="8">
        <f>INDEX(armas!$B$3:$B$500,MATCH(U$10,armas!$A$3:$A$500,0))</f>
      </c>
      <c r="V9" s="8">
        <f>INDEX(armas!$B$3:$B$500,MATCH(V$10,armas!$A$3:$A$500,0))</f>
      </c>
      <c r="W9" s="8">
        <f>INDEX(armas!$B$3:$B$500,MATCH(W$10,armas!$A$3:$A$500,0))</f>
      </c>
      <c r="X9" s="8">
        <f>INDEX(armas!$B$3:$B$500,MATCH(X$10,armas!$A$3:$A$500,0))</f>
      </c>
      <c r="Y9" s="8">
        <f>INDEX(armas!$B$3:$B$500,MATCH(Y$10,armas!$A$3:$A$500,0))</f>
      </c>
      <c r="Z9" s="8">
        <f>INDEX(armas!$B$3:$B$500,MATCH(Z$10,armas!$A$3:$A$500,0))</f>
      </c>
      <c r="AA9" s="8">
        <f>INDEX(armas!$B$3:$B$500,MATCH(AA$10,armas!$A$3:$A$500,0))</f>
      </c>
      <c r="AB9" s="8">
        <f>INDEX(armas!$B$3:$B$500,MATCH(AB$10,armas!$A$3:$A$500,0))</f>
      </c>
      <c r="AC9" s="8" t="s">
        <v>946</v>
      </c>
    </row>
    <row r="10" spans="4:29" x14ac:dyDescent="0.25">
      <c r="D10" s="9" t="s">
        <v>947</v>
      </c>
      <c r="E10" s="9" t="s">
        <v>105</v>
      </c>
      <c r="F10" s="9" t="s">
        <v>105</v>
      </c>
      <c r="G10" s="9" t="s">
        <v>108</v>
      </c>
      <c r="H10" s="9" t="s">
        <v>108</v>
      </c>
      <c r="I10" s="9" t="s">
        <v>111</v>
      </c>
      <c r="J10" s="9" t="s">
        <v>111</v>
      </c>
      <c r="K10" s="9" t="s">
        <v>114</v>
      </c>
      <c r="L10" s="9" t="s">
        <v>114</v>
      </c>
      <c r="M10" s="9" t="s">
        <v>117</v>
      </c>
      <c r="N10" s="9" t="s">
        <v>117</v>
      </c>
      <c r="O10" s="9" t="s">
        <v>123</v>
      </c>
      <c r="P10" s="9" t="s">
        <v>123</v>
      </c>
      <c r="Q10" s="9" t="s">
        <v>126</v>
      </c>
      <c r="R10" s="9" t="s">
        <v>126</v>
      </c>
      <c r="S10" s="9" t="s">
        <v>128</v>
      </c>
      <c r="T10" s="9" t="s">
        <v>128</v>
      </c>
      <c r="U10" s="9" t="s">
        <v>131</v>
      </c>
      <c r="V10" s="9" t="s">
        <v>131</v>
      </c>
      <c r="W10" s="9" t="s">
        <v>133</v>
      </c>
      <c r="X10" s="9" t="s">
        <v>133</v>
      </c>
      <c r="Y10" s="9" t="s">
        <v>135</v>
      </c>
      <c r="Z10" s="9" t="s">
        <v>135</v>
      </c>
      <c r="AA10" s="9" t="s">
        <v>138</v>
      </c>
      <c r="AB10" s="9" t="s">
        <v>138</v>
      </c>
      <c r="AC10" s="9" t="s">
        <v>168</v>
      </c>
    </row>
    <row r="11" spans="4:28" x14ac:dyDescent="0.25">
      <c r="D11" t="s">
        <v>948</v>
      </c>
      <c r="E11">
        <v>1</v>
      </c>
      <c r="F11">
        <v>5</v>
      </c>
      <c r="G11">
        <v>1</v>
      </c>
      <c r="H11">
        <v>5</v>
      </c>
      <c r="I11">
        <v>1</v>
      </c>
      <c r="J11">
        <v>5</v>
      </c>
      <c r="K11">
        <v>1</v>
      </c>
      <c r="L11">
        <v>5</v>
      </c>
      <c r="M11">
        <v>1</v>
      </c>
      <c r="N11">
        <v>5</v>
      </c>
      <c r="O11">
        <v>1</v>
      </c>
      <c r="P11">
        <v>5</v>
      </c>
      <c r="Q11">
        <v>1</v>
      </c>
      <c r="R11">
        <v>5</v>
      </c>
      <c r="S11">
        <v>1</v>
      </c>
      <c r="T11">
        <v>5</v>
      </c>
      <c r="U11">
        <v>1</v>
      </c>
      <c r="V11">
        <v>5</v>
      </c>
      <c r="W11">
        <v>1</v>
      </c>
      <c r="X11">
        <v>5</v>
      </c>
      <c r="Y11">
        <v>1</v>
      </c>
      <c r="Z11">
        <v>5</v>
      </c>
      <c r="AA11">
        <v>1</v>
      </c>
      <c r="AB11">
        <v>5</v>
      </c>
    </row>
    <row r="12" spans="1:29" x14ac:dyDescent="0.25">
      <c r="A12" s="10" t="s">
        <v>6</v>
      </c>
      <c r="B12" s="10" t="s">
        <v>7</v>
      </c>
      <c r="C12" s="10" t="s">
        <v>8</v>
      </c>
      <c r="D12" s="10" t="s">
        <v>949</v>
      </c>
      <c r="E12" s="10">
        <f>(INDEX(armas!$D$3:$D$500,MATCH(E$10,armas!$A$3:$A$500,0))+INDEX(armas!$E$3:$E$500,MATCH(E$10,armas!$A$3:$A$500,0))*E$11)*$B$5</f>
      </c>
      <c r="F12" s="10">
        <f>(INDEX(armas!$D$3:$D$500,MATCH(F$10,armas!$A$3:$A$500,0))+INDEX(armas!$E$3:$E$500,MATCH(F$10,armas!$A$3:$A$500,0))*F$11)*$B$5</f>
      </c>
      <c r="G12" s="10">
        <f>(INDEX(armas!$D$3:$D$500,MATCH(G$10,armas!$A$3:$A$500,0))+INDEX(armas!$E$3:$E$500,MATCH(G$10,armas!$A$3:$A$500,0))*G$11)*$B$5</f>
      </c>
      <c r="H12" s="10">
        <f>(INDEX(armas!$D$3:$D$500,MATCH(H$10,armas!$A$3:$A$500,0))+INDEX(armas!$E$3:$E$500,MATCH(H$10,armas!$A$3:$A$500,0))*H$11)*$B$5</f>
      </c>
      <c r="I12" s="10">
        <f>(INDEX(armas!$D$3:$D$500,MATCH(I$10,armas!$A$3:$A$500,0))+INDEX(armas!$E$3:$E$500,MATCH(I$10,armas!$A$3:$A$500,0))*I$11)*$B$5</f>
      </c>
      <c r="J12" s="10">
        <f>(INDEX(armas!$D$3:$D$500,MATCH(J$10,armas!$A$3:$A$500,0))+INDEX(armas!$E$3:$E$500,MATCH(J$10,armas!$A$3:$A$500,0))*J$11)*$B$5</f>
      </c>
      <c r="K12" s="10">
        <f>(INDEX(armas!$D$3:$D$500,MATCH(K$10,armas!$A$3:$A$500,0))+INDEX(armas!$E$3:$E$500,MATCH(K$10,armas!$A$3:$A$500,0))*K$11)*$B$5</f>
      </c>
      <c r="L12" s="10">
        <f>(INDEX(armas!$D$3:$D$500,MATCH(L$10,armas!$A$3:$A$500,0))+INDEX(armas!$E$3:$E$500,MATCH(L$10,armas!$A$3:$A$500,0))*L$11)*$B$5</f>
      </c>
      <c r="M12" s="10">
        <f>(INDEX(armas!$D$3:$D$500,MATCH(M$10,armas!$A$3:$A$500,0))+INDEX(armas!$E$3:$E$500,MATCH(M$10,armas!$A$3:$A$500,0))*M$11)*$B$5</f>
      </c>
      <c r="N12" s="10">
        <f>(INDEX(armas!$D$3:$D$500,MATCH(N$10,armas!$A$3:$A$500,0))+INDEX(armas!$E$3:$E$500,MATCH(N$10,armas!$A$3:$A$500,0))*N$11)*$B$5</f>
      </c>
      <c r="O12" s="10">
        <f>(INDEX(armas!$D$3:$D$500,MATCH(O$10,armas!$A$3:$A$500,0))+INDEX(armas!$E$3:$E$500,MATCH(O$10,armas!$A$3:$A$500,0))*O$11)*$B$5</f>
      </c>
      <c r="P12" s="10">
        <f>(INDEX(armas!$D$3:$D$500,MATCH(P$10,armas!$A$3:$A$500,0))+INDEX(armas!$E$3:$E$500,MATCH(P$10,armas!$A$3:$A$500,0))*P$11)*$B$5</f>
      </c>
      <c r="Q12" s="10">
        <f>(INDEX(armas!$D$3:$D$500,MATCH(Q$10,armas!$A$3:$A$500,0))+INDEX(armas!$E$3:$E$500,MATCH(Q$10,armas!$A$3:$A$500,0))*Q$11)*$B$5</f>
      </c>
      <c r="R12" s="10">
        <f>(INDEX(armas!$D$3:$D$500,MATCH(R$10,armas!$A$3:$A$500,0))+INDEX(armas!$E$3:$E$500,MATCH(R$10,armas!$A$3:$A$500,0))*R$11)*$B$5</f>
      </c>
      <c r="S12" s="10">
        <f>(INDEX(armas!$D$3:$D$500,MATCH(S$10,armas!$A$3:$A$500,0))+INDEX(armas!$E$3:$E$500,MATCH(S$10,armas!$A$3:$A$500,0))*S$11)*$B$5</f>
      </c>
      <c r="T12" s="10">
        <f>(INDEX(armas!$D$3:$D$500,MATCH(T$10,armas!$A$3:$A$500,0))+INDEX(armas!$E$3:$E$500,MATCH(T$10,armas!$A$3:$A$500,0))*T$11)*$B$5</f>
      </c>
      <c r="U12" s="10">
        <f>(INDEX(armas!$D$3:$D$500,MATCH(U$10,armas!$A$3:$A$500,0))+INDEX(armas!$E$3:$E$500,MATCH(U$10,armas!$A$3:$A$500,0))*U$11)*$B$5</f>
      </c>
      <c r="V12" s="10">
        <f>(INDEX(armas!$D$3:$D$500,MATCH(V$10,armas!$A$3:$A$500,0))+INDEX(armas!$E$3:$E$500,MATCH(V$10,armas!$A$3:$A$500,0))*V$11)*$B$5</f>
      </c>
      <c r="W12" s="10">
        <f>(INDEX(armas!$D$3:$D$500,MATCH(W$10,armas!$A$3:$A$500,0))+INDEX(armas!$E$3:$E$500,MATCH(W$10,armas!$A$3:$A$500,0))*W$11)*$B$5</f>
      </c>
      <c r="X12" s="10">
        <f>(INDEX(armas!$D$3:$D$500,MATCH(X$10,armas!$A$3:$A$500,0))+INDEX(armas!$E$3:$E$500,MATCH(X$10,armas!$A$3:$A$500,0))*X$11)*$B$5</f>
      </c>
      <c r="Y12" s="10">
        <f>(INDEX(armas!$D$3:$D$500,MATCH(Y$10,armas!$A$3:$A$500,0))+INDEX(armas!$E$3:$E$500,MATCH(Y$10,armas!$A$3:$A$500,0))*Y$11)*$B$5</f>
      </c>
      <c r="Z12" s="10">
        <f>(INDEX(armas!$D$3:$D$500,MATCH(Z$10,armas!$A$3:$A$500,0))+INDEX(armas!$E$3:$E$500,MATCH(Z$10,armas!$A$3:$A$500,0))*Z$11)*$B$5</f>
      </c>
      <c r="AA12" s="10">
        <f>(INDEX(armas!$D$3:$D$500,MATCH(AA$10,armas!$A$3:$A$500,0))+INDEX(armas!$E$3:$E$500,MATCH(AA$10,armas!$A$3:$A$500,0))*AA$11)*$B$5</f>
      </c>
      <c r="AB12" s="10">
        <f>(INDEX(armas!$D$3:$D$500,MATCH(AB$10,armas!$A$3:$A$500,0))+INDEX(armas!$E$3:$E$500,MATCH(AB$10,armas!$A$3:$A$500,0))*AB$11)*$B$5</f>
      </c>
      <c r="AC12" s="10">
        <f>$B$7*INDEX(autos!$I$3:$I$500,MATCH($B$6,autos!$A$3:$A$500,0))*$B$8*$B$5</f>
      </c>
    </row>
    <row r="13" spans="1:29" x14ac:dyDescent="0.25">
      <c r="A13" t="s">
        <v>28</v>
      </c>
      <c r="B13">
        <f>INDEX(enemigos!$B$3:$B$500,MATCH($A13,enemigos!$A$3:$A$500,0))</f>
      </c>
      <c r="C13">
        <f>INDEX(enemigos!$C$3:$C$500,MATCH($A13,enemigos!$A$3:$A$500,0))</f>
      </c>
      <c r="D13">
        <f>IF($C13="bicho",INDEX(enemigos!$D$3:$D$500,MATCH($A13,enemigos!$A$3:$A$500,0))*INDEX(ritmo!$B$3:$B$500,MATCH("dureza_vida",ritmo!$A$3:$A$500,0))*(1+$B$4/INDEX(ritmo!$B$3:$B$500,MATCH("vida_escala_seg",ritmo!$A$3:$A$500,0))),INDEX(enemigos!$D$3:$D$500,MATCH($A13,enemigos!$A$3:$A$500,0)))</f>
      </c>
      <c r="E13">
        <f>IF(E$12&gt;0,ROUNDUP($D13/E$12,0),"-")</f>
      </c>
      <c r="F13">
        <f>IF(F$12&gt;0,ROUNDUP($D13/F$12,0),"-")</f>
      </c>
      <c r="G13">
        <f>IF(G$12&gt;0,ROUNDUP($D13/G$12,0),"-")</f>
      </c>
      <c r="H13">
        <f>IF(H$12&gt;0,ROUNDUP($D13/H$12,0),"-")</f>
      </c>
      <c r="I13">
        <f>IF(I$12&gt;0,ROUNDUP($D13/I$12,0),"-")</f>
      </c>
      <c r="J13">
        <f>IF(J$12&gt;0,ROUNDUP($D13/J$12,0),"-")</f>
      </c>
      <c r="K13">
        <f>IF(K$12&gt;0,ROUNDUP($D13/K$12,0),"-")</f>
      </c>
      <c r="L13">
        <f>IF(L$12&gt;0,ROUNDUP($D13/L$12,0),"-")</f>
      </c>
      <c r="M13">
        <f>IF(M$12&gt;0,ROUNDUP($D13/M$12,0),"-")</f>
      </c>
      <c r="N13">
        <f>IF(N$12&gt;0,ROUNDUP($D13/N$12,0),"-")</f>
      </c>
      <c r="O13">
        <f>IF(O$12&gt;0,ROUNDUP($D13/O$12,0),"-")</f>
      </c>
      <c r="P13">
        <f>IF(P$12&gt;0,ROUNDUP($D13/P$12,0),"-")</f>
      </c>
      <c r="Q13">
        <f>IF(Q$12&gt;0,ROUNDUP($D13/Q$12,0),"-")</f>
      </c>
      <c r="R13">
        <f>IF(R$12&gt;0,ROUNDUP($D13/R$12,0),"-")</f>
      </c>
      <c r="S13">
        <f>IF(S$12&gt;0,ROUNDUP($D13/S$12,0),"-")</f>
      </c>
      <c r="T13">
        <f>IF(T$12&gt;0,ROUNDUP($D13/T$12,0),"-")</f>
      </c>
      <c r="U13">
        <f>IF(U$12&gt;0,ROUNDUP($D13/U$12,0),"-")</f>
      </c>
      <c r="V13">
        <f>IF(V$12&gt;0,ROUNDUP($D13/V$12,0),"-")</f>
      </c>
      <c r="W13">
        <f>IF(W$12&gt;0,ROUNDUP($D13/W$12,0),"-")</f>
      </c>
      <c r="X13">
        <f>IF(X$12&gt;0,ROUNDUP($D13/X$12,0),"-")</f>
      </c>
      <c r="Y13">
        <f>IF(Y$12&gt;0,ROUNDUP($D13/Y$12,0),"-")</f>
      </c>
      <c r="Z13">
        <f>IF(Z$12&gt;0,ROUNDUP($D13/Z$12,0),"-")</f>
      </c>
      <c r="AA13">
        <f>IF(AA$12&gt;0,ROUNDUP($D13/AA$12,0),"-")</f>
      </c>
      <c r="AB13">
        <f>IF(AB$12&gt;0,ROUNDUP($D13/AB$12,0),"-")</f>
      </c>
      <c r="AC13">
        <f>IF(AC$12&gt;0,ROUNDUP($D13/AC$12,0),"-")</f>
      </c>
    </row>
    <row r="14" spans="1:29" x14ac:dyDescent="0.25">
      <c r="A14" t="s">
        <v>31</v>
      </c>
      <c r="B14">
        <f>INDEX(enemigos!$B$3:$B$500,MATCH($A14,enemigos!$A$3:$A$500,0))</f>
      </c>
      <c r="C14">
        <f>INDEX(enemigos!$C$3:$C$500,MATCH($A14,enemigos!$A$3:$A$500,0))</f>
      </c>
      <c r="D14">
        <f>IF($C14="bicho",INDEX(enemigos!$D$3:$D$500,MATCH($A14,enemigos!$A$3:$A$500,0))*INDEX(ritmo!$B$3:$B$500,MATCH("dureza_vida",ritmo!$A$3:$A$500,0))*(1+$B$4/INDEX(ritmo!$B$3:$B$500,MATCH("vida_escala_seg",ritmo!$A$3:$A$500,0))),INDEX(enemigos!$D$3:$D$500,MATCH($A14,enemigos!$A$3:$A$500,0)))</f>
      </c>
      <c r="E14">
        <f>IF(E$12&gt;0,ROUNDUP($D14/E$12,0),"-")</f>
      </c>
      <c r="F14">
        <f>IF(F$12&gt;0,ROUNDUP($D14/F$12,0),"-")</f>
      </c>
      <c r="G14">
        <f>IF(G$12&gt;0,ROUNDUP($D14/G$12,0),"-")</f>
      </c>
      <c r="H14">
        <f>IF(H$12&gt;0,ROUNDUP($D14/H$12,0),"-")</f>
      </c>
      <c r="I14">
        <f>IF(I$12&gt;0,ROUNDUP($D14/I$12,0),"-")</f>
      </c>
      <c r="J14">
        <f>IF(J$12&gt;0,ROUNDUP($D14/J$12,0),"-")</f>
      </c>
      <c r="K14">
        <f>IF(K$12&gt;0,ROUNDUP($D14/K$12,0),"-")</f>
      </c>
      <c r="L14">
        <f>IF(L$12&gt;0,ROUNDUP($D14/L$12,0),"-")</f>
      </c>
      <c r="M14">
        <f>IF(M$12&gt;0,ROUNDUP($D14/M$12,0),"-")</f>
      </c>
      <c r="N14">
        <f>IF(N$12&gt;0,ROUNDUP($D14/N$12,0),"-")</f>
      </c>
      <c r="O14">
        <f>IF(O$12&gt;0,ROUNDUP($D14/O$12,0),"-")</f>
      </c>
      <c r="P14">
        <f>IF(P$12&gt;0,ROUNDUP($D14/P$12,0),"-")</f>
      </c>
      <c r="Q14">
        <f>IF(Q$12&gt;0,ROUNDUP($D14/Q$12,0),"-")</f>
      </c>
      <c r="R14">
        <f>IF(R$12&gt;0,ROUNDUP($D14/R$12,0),"-")</f>
      </c>
      <c r="S14">
        <f>IF(S$12&gt;0,ROUNDUP($D14/S$12,0),"-")</f>
      </c>
      <c r="T14">
        <f>IF(T$12&gt;0,ROUNDUP($D14/T$12,0),"-")</f>
      </c>
      <c r="U14">
        <f>IF(U$12&gt;0,ROUNDUP($D14/U$12,0),"-")</f>
      </c>
      <c r="V14">
        <f>IF(V$12&gt;0,ROUNDUP($D14/V$12,0),"-")</f>
      </c>
      <c r="W14">
        <f>IF(W$12&gt;0,ROUNDUP($D14/W$12,0),"-")</f>
      </c>
      <c r="X14">
        <f>IF(X$12&gt;0,ROUNDUP($D14/X$12,0),"-")</f>
      </c>
      <c r="Y14">
        <f>IF(Y$12&gt;0,ROUNDUP($D14/Y$12,0),"-")</f>
      </c>
      <c r="Z14">
        <f>IF(Z$12&gt;0,ROUNDUP($D14/Z$12,0),"-")</f>
      </c>
      <c r="AA14">
        <f>IF(AA$12&gt;0,ROUNDUP($D14/AA$12,0),"-")</f>
      </c>
      <c r="AB14">
        <f>IF(AB$12&gt;0,ROUNDUP($D14/AB$12,0),"-")</f>
      </c>
      <c r="AC14">
        <f>IF(AC$12&gt;0,ROUNDUP($D14/AC$12,0),"-")</f>
      </c>
    </row>
    <row r="15" spans="1:29" x14ac:dyDescent="0.25">
      <c r="A15" t="s">
        <v>33</v>
      </c>
      <c r="B15">
        <f>INDEX(enemigos!$B$3:$B$500,MATCH($A15,enemigos!$A$3:$A$500,0))</f>
      </c>
      <c r="C15">
        <f>INDEX(enemigos!$C$3:$C$500,MATCH($A15,enemigos!$A$3:$A$500,0))</f>
      </c>
      <c r="D15">
        <f>IF($C15="bicho",INDEX(enemigos!$D$3:$D$500,MATCH($A15,enemigos!$A$3:$A$500,0))*INDEX(ritmo!$B$3:$B$500,MATCH("dureza_vida",ritmo!$A$3:$A$500,0))*(1+$B$4/INDEX(ritmo!$B$3:$B$500,MATCH("vida_escala_seg",ritmo!$A$3:$A$500,0))),INDEX(enemigos!$D$3:$D$500,MATCH($A15,enemigos!$A$3:$A$500,0)))</f>
      </c>
      <c r="E15">
        <f>IF(E$12&gt;0,ROUNDUP($D15/E$12,0),"-")</f>
      </c>
      <c r="F15">
        <f>IF(F$12&gt;0,ROUNDUP($D15/F$12,0),"-")</f>
      </c>
      <c r="G15">
        <f>IF(G$12&gt;0,ROUNDUP($D15/G$12,0),"-")</f>
      </c>
      <c r="H15">
        <f>IF(H$12&gt;0,ROUNDUP($D15/H$12,0),"-")</f>
      </c>
      <c r="I15">
        <f>IF(I$12&gt;0,ROUNDUP($D15/I$12,0),"-")</f>
      </c>
      <c r="J15">
        <f>IF(J$12&gt;0,ROUNDUP($D15/J$12,0),"-")</f>
      </c>
      <c r="K15">
        <f>IF(K$12&gt;0,ROUNDUP($D15/K$12,0),"-")</f>
      </c>
      <c r="L15">
        <f>IF(L$12&gt;0,ROUNDUP($D15/L$12,0),"-")</f>
      </c>
      <c r="M15">
        <f>IF(M$12&gt;0,ROUNDUP($D15/M$12,0),"-")</f>
      </c>
      <c r="N15">
        <f>IF(N$12&gt;0,ROUNDUP($D15/N$12,0),"-")</f>
      </c>
      <c r="O15">
        <f>IF(O$12&gt;0,ROUNDUP($D15/O$12,0),"-")</f>
      </c>
      <c r="P15">
        <f>IF(P$12&gt;0,ROUNDUP($D15/P$12,0),"-")</f>
      </c>
      <c r="Q15">
        <f>IF(Q$12&gt;0,ROUNDUP($D15/Q$12,0),"-")</f>
      </c>
      <c r="R15">
        <f>IF(R$12&gt;0,ROUNDUP($D15/R$12,0),"-")</f>
      </c>
      <c r="S15">
        <f>IF(S$12&gt;0,ROUNDUP($D15/S$12,0),"-")</f>
      </c>
      <c r="T15">
        <f>IF(T$12&gt;0,ROUNDUP($D15/T$12,0),"-")</f>
      </c>
      <c r="U15">
        <f>IF(U$12&gt;0,ROUNDUP($D15/U$12,0),"-")</f>
      </c>
      <c r="V15">
        <f>IF(V$12&gt;0,ROUNDUP($D15/V$12,0),"-")</f>
      </c>
      <c r="W15">
        <f>IF(W$12&gt;0,ROUNDUP($D15/W$12,0),"-")</f>
      </c>
      <c r="X15">
        <f>IF(X$12&gt;0,ROUNDUP($D15/X$12,0),"-")</f>
      </c>
      <c r="Y15">
        <f>IF(Y$12&gt;0,ROUNDUP($D15/Y$12,0),"-")</f>
      </c>
      <c r="Z15">
        <f>IF(Z$12&gt;0,ROUNDUP($D15/Z$12,0),"-")</f>
      </c>
      <c r="AA15">
        <f>IF(AA$12&gt;0,ROUNDUP($D15/AA$12,0),"-")</f>
      </c>
      <c r="AB15">
        <f>IF(AB$12&gt;0,ROUNDUP($D15/AB$12,0),"-")</f>
      </c>
      <c r="AC15">
        <f>IF(AC$12&gt;0,ROUNDUP($D15/AC$12,0),"-")</f>
      </c>
    </row>
    <row r="16" spans="1:29" x14ac:dyDescent="0.25">
      <c r="A16" t="s">
        <v>35</v>
      </c>
      <c r="B16">
        <f>INDEX(enemigos!$B$3:$B$500,MATCH($A16,enemigos!$A$3:$A$500,0))</f>
      </c>
      <c r="C16">
        <f>INDEX(enemigos!$C$3:$C$500,MATCH($A16,enemigos!$A$3:$A$500,0))</f>
      </c>
      <c r="D16">
        <f>IF($C16="bicho",INDEX(enemigos!$D$3:$D$500,MATCH($A16,enemigos!$A$3:$A$500,0))*INDEX(ritmo!$B$3:$B$500,MATCH("dureza_vida",ritmo!$A$3:$A$500,0))*(1+$B$4/INDEX(ritmo!$B$3:$B$500,MATCH("vida_escala_seg",ritmo!$A$3:$A$500,0))),INDEX(enemigos!$D$3:$D$500,MATCH($A16,enemigos!$A$3:$A$500,0)))</f>
      </c>
      <c r="E16">
        <f>IF(E$12&gt;0,ROUNDUP($D16/E$12,0),"-")</f>
      </c>
      <c r="F16">
        <f>IF(F$12&gt;0,ROUNDUP($D16/F$12,0),"-")</f>
      </c>
      <c r="G16">
        <f>IF(G$12&gt;0,ROUNDUP($D16/G$12,0),"-")</f>
      </c>
      <c r="H16">
        <f>IF(H$12&gt;0,ROUNDUP($D16/H$12,0),"-")</f>
      </c>
      <c r="I16">
        <f>IF(I$12&gt;0,ROUNDUP($D16/I$12,0),"-")</f>
      </c>
      <c r="J16">
        <f>IF(J$12&gt;0,ROUNDUP($D16/J$12,0),"-")</f>
      </c>
      <c r="K16">
        <f>IF(K$12&gt;0,ROUNDUP($D16/K$12,0),"-")</f>
      </c>
      <c r="L16">
        <f>IF(L$12&gt;0,ROUNDUP($D16/L$12,0),"-")</f>
      </c>
      <c r="M16">
        <f>IF(M$12&gt;0,ROUNDUP($D16/M$12,0),"-")</f>
      </c>
      <c r="N16">
        <f>IF(N$12&gt;0,ROUNDUP($D16/N$12,0),"-")</f>
      </c>
      <c r="O16">
        <f>IF(O$12&gt;0,ROUNDUP($D16/O$12,0),"-")</f>
      </c>
      <c r="P16">
        <f>IF(P$12&gt;0,ROUNDUP($D16/P$12,0),"-")</f>
      </c>
      <c r="Q16">
        <f>IF(Q$12&gt;0,ROUNDUP($D16/Q$12,0),"-")</f>
      </c>
      <c r="R16">
        <f>IF(R$12&gt;0,ROUNDUP($D16/R$12,0),"-")</f>
      </c>
      <c r="S16">
        <f>IF(S$12&gt;0,ROUNDUP($D16/S$12,0),"-")</f>
      </c>
      <c r="T16">
        <f>IF(T$12&gt;0,ROUNDUP($D16/T$12,0),"-")</f>
      </c>
      <c r="U16">
        <f>IF(U$12&gt;0,ROUNDUP($D16/U$12,0),"-")</f>
      </c>
      <c r="V16">
        <f>IF(V$12&gt;0,ROUNDUP($D16/V$12,0),"-")</f>
      </c>
      <c r="W16">
        <f>IF(W$12&gt;0,ROUNDUP($D16/W$12,0),"-")</f>
      </c>
      <c r="X16">
        <f>IF(X$12&gt;0,ROUNDUP($D16/X$12,0),"-")</f>
      </c>
      <c r="Y16">
        <f>IF(Y$12&gt;0,ROUNDUP($D16/Y$12,0),"-")</f>
      </c>
      <c r="Z16">
        <f>IF(Z$12&gt;0,ROUNDUP($D16/Z$12,0),"-")</f>
      </c>
      <c r="AA16">
        <f>IF(AA$12&gt;0,ROUNDUP($D16/AA$12,0),"-")</f>
      </c>
      <c r="AB16">
        <f>IF(AB$12&gt;0,ROUNDUP($D16/AB$12,0),"-")</f>
      </c>
      <c r="AC16">
        <f>IF(AC$12&gt;0,ROUNDUP($D16/AC$12,0),"-")</f>
      </c>
    </row>
    <row r="17" spans="1:29" x14ac:dyDescent="0.25">
      <c r="A17" t="s">
        <v>37</v>
      </c>
      <c r="B17">
        <f>INDEX(enemigos!$B$3:$B$500,MATCH($A17,enemigos!$A$3:$A$500,0))</f>
      </c>
      <c r="C17">
        <f>INDEX(enemigos!$C$3:$C$500,MATCH($A17,enemigos!$A$3:$A$500,0))</f>
      </c>
      <c r="D17">
        <f>IF($C17="bicho",INDEX(enemigos!$D$3:$D$500,MATCH($A17,enemigos!$A$3:$A$500,0))*INDEX(ritmo!$B$3:$B$500,MATCH("dureza_vida",ritmo!$A$3:$A$500,0))*(1+$B$4/INDEX(ritmo!$B$3:$B$500,MATCH("vida_escala_seg",ritmo!$A$3:$A$500,0))),INDEX(enemigos!$D$3:$D$500,MATCH($A17,enemigos!$A$3:$A$500,0)))</f>
      </c>
      <c r="E17">
        <f>IF(E$12&gt;0,ROUNDUP($D17/E$12,0),"-")</f>
      </c>
      <c r="F17">
        <f>IF(F$12&gt;0,ROUNDUP($D17/F$12,0),"-")</f>
      </c>
      <c r="G17">
        <f>IF(G$12&gt;0,ROUNDUP($D17/G$12,0),"-")</f>
      </c>
      <c r="H17">
        <f>IF(H$12&gt;0,ROUNDUP($D17/H$12,0),"-")</f>
      </c>
      <c r="I17">
        <f>IF(I$12&gt;0,ROUNDUP($D17/I$12,0),"-")</f>
      </c>
      <c r="J17">
        <f>IF(J$12&gt;0,ROUNDUP($D17/J$12,0),"-")</f>
      </c>
      <c r="K17">
        <f>IF(K$12&gt;0,ROUNDUP($D17/K$12,0),"-")</f>
      </c>
      <c r="L17">
        <f>IF(L$12&gt;0,ROUNDUP($D17/L$12,0),"-")</f>
      </c>
      <c r="M17">
        <f>IF(M$12&gt;0,ROUNDUP($D17/M$12,0),"-")</f>
      </c>
      <c r="N17">
        <f>IF(N$12&gt;0,ROUNDUP($D17/N$12,0),"-")</f>
      </c>
      <c r="O17">
        <f>IF(O$12&gt;0,ROUNDUP($D17/O$12,0),"-")</f>
      </c>
      <c r="P17">
        <f>IF(P$12&gt;0,ROUNDUP($D17/P$12,0),"-")</f>
      </c>
      <c r="Q17">
        <f>IF(Q$12&gt;0,ROUNDUP($D17/Q$12,0),"-")</f>
      </c>
      <c r="R17">
        <f>IF(R$12&gt;0,ROUNDUP($D17/R$12,0),"-")</f>
      </c>
      <c r="S17">
        <f>IF(S$12&gt;0,ROUNDUP($D17/S$12,0),"-")</f>
      </c>
      <c r="T17">
        <f>IF(T$12&gt;0,ROUNDUP($D17/T$12,0),"-")</f>
      </c>
      <c r="U17">
        <f>IF(U$12&gt;0,ROUNDUP($D17/U$12,0),"-")</f>
      </c>
      <c r="V17">
        <f>IF(V$12&gt;0,ROUNDUP($D17/V$12,0),"-")</f>
      </c>
      <c r="W17">
        <f>IF(W$12&gt;0,ROUNDUP($D17/W$12,0),"-")</f>
      </c>
      <c r="X17">
        <f>IF(X$12&gt;0,ROUNDUP($D17/X$12,0),"-")</f>
      </c>
      <c r="Y17">
        <f>IF(Y$12&gt;0,ROUNDUP($D17/Y$12,0),"-")</f>
      </c>
      <c r="Z17">
        <f>IF(Z$12&gt;0,ROUNDUP($D17/Z$12,0),"-")</f>
      </c>
      <c r="AA17">
        <f>IF(AA$12&gt;0,ROUNDUP($D17/AA$12,0),"-")</f>
      </c>
      <c r="AB17">
        <f>IF(AB$12&gt;0,ROUNDUP($D17/AB$12,0),"-")</f>
      </c>
      <c r="AC17">
        <f>IF(AC$12&gt;0,ROUNDUP($D17/AC$12,0),"-")</f>
      </c>
    </row>
    <row r="18" spans="1:29" x14ac:dyDescent="0.25">
      <c r="A18" t="s">
        <v>39</v>
      </c>
      <c r="B18">
        <f>INDEX(enemigos!$B$3:$B$500,MATCH($A18,enemigos!$A$3:$A$500,0))</f>
      </c>
      <c r="C18">
        <f>INDEX(enemigos!$C$3:$C$500,MATCH($A18,enemigos!$A$3:$A$500,0))</f>
      </c>
      <c r="D18">
        <f>IF($C18="bicho",INDEX(enemigos!$D$3:$D$500,MATCH($A18,enemigos!$A$3:$A$500,0))*INDEX(ritmo!$B$3:$B$500,MATCH("dureza_vida",ritmo!$A$3:$A$500,0))*(1+$B$4/INDEX(ritmo!$B$3:$B$500,MATCH("vida_escala_seg",ritmo!$A$3:$A$500,0))),INDEX(enemigos!$D$3:$D$500,MATCH($A18,enemigos!$A$3:$A$500,0)))</f>
      </c>
      <c r="E18">
        <f>IF(E$12&gt;0,ROUNDUP($D18/E$12,0),"-")</f>
      </c>
      <c r="F18">
        <f>IF(F$12&gt;0,ROUNDUP($D18/F$12,0),"-")</f>
      </c>
      <c r="G18">
        <f>IF(G$12&gt;0,ROUNDUP($D18/G$12,0),"-")</f>
      </c>
      <c r="H18">
        <f>IF(H$12&gt;0,ROUNDUP($D18/H$12,0),"-")</f>
      </c>
      <c r="I18">
        <f>IF(I$12&gt;0,ROUNDUP($D18/I$12,0),"-")</f>
      </c>
      <c r="J18">
        <f>IF(J$12&gt;0,ROUNDUP($D18/J$12,0),"-")</f>
      </c>
      <c r="K18">
        <f>IF(K$12&gt;0,ROUNDUP($D18/K$12,0),"-")</f>
      </c>
      <c r="L18">
        <f>IF(L$12&gt;0,ROUNDUP($D18/L$12,0),"-")</f>
      </c>
      <c r="M18">
        <f>IF(M$12&gt;0,ROUNDUP($D18/M$12,0),"-")</f>
      </c>
      <c r="N18">
        <f>IF(N$12&gt;0,ROUNDUP($D18/N$12,0),"-")</f>
      </c>
      <c r="O18">
        <f>IF(O$12&gt;0,ROUNDUP($D18/O$12,0),"-")</f>
      </c>
      <c r="P18">
        <f>IF(P$12&gt;0,ROUNDUP($D18/P$12,0),"-")</f>
      </c>
      <c r="Q18">
        <f>IF(Q$12&gt;0,ROUNDUP($D18/Q$12,0),"-")</f>
      </c>
      <c r="R18">
        <f>IF(R$12&gt;0,ROUNDUP($D18/R$12,0),"-")</f>
      </c>
      <c r="S18">
        <f>IF(S$12&gt;0,ROUNDUP($D18/S$12,0),"-")</f>
      </c>
      <c r="T18">
        <f>IF(T$12&gt;0,ROUNDUP($D18/T$12,0),"-")</f>
      </c>
      <c r="U18">
        <f>IF(U$12&gt;0,ROUNDUP($D18/U$12,0),"-")</f>
      </c>
      <c r="V18">
        <f>IF(V$12&gt;0,ROUNDUP($D18/V$12,0),"-")</f>
      </c>
      <c r="W18">
        <f>IF(W$12&gt;0,ROUNDUP($D18/W$12,0),"-")</f>
      </c>
      <c r="X18">
        <f>IF(X$12&gt;0,ROUNDUP($D18/X$12,0),"-")</f>
      </c>
      <c r="Y18">
        <f>IF(Y$12&gt;0,ROUNDUP($D18/Y$12,0),"-")</f>
      </c>
      <c r="Z18">
        <f>IF(Z$12&gt;0,ROUNDUP($D18/Z$12,0),"-")</f>
      </c>
      <c r="AA18">
        <f>IF(AA$12&gt;0,ROUNDUP($D18/AA$12,0),"-")</f>
      </c>
      <c r="AB18">
        <f>IF(AB$12&gt;0,ROUNDUP($D18/AB$12,0),"-")</f>
      </c>
      <c r="AC18">
        <f>IF(AC$12&gt;0,ROUNDUP($D18/AC$12,0),"-")</f>
      </c>
    </row>
    <row r="19" spans="1:29" x14ac:dyDescent="0.25">
      <c r="A19" t="s">
        <v>41</v>
      </c>
      <c r="B19">
        <f>INDEX(enemigos!$B$3:$B$500,MATCH($A19,enemigos!$A$3:$A$500,0))</f>
      </c>
      <c r="C19">
        <f>INDEX(enemigos!$C$3:$C$500,MATCH($A19,enemigos!$A$3:$A$500,0))</f>
      </c>
      <c r="D19">
        <f>IF($C19="bicho",INDEX(enemigos!$D$3:$D$500,MATCH($A19,enemigos!$A$3:$A$500,0))*INDEX(ritmo!$B$3:$B$500,MATCH("dureza_vida",ritmo!$A$3:$A$500,0))*(1+$B$4/INDEX(ritmo!$B$3:$B$500,MATCH("vida_escala_seg",ritmo!$A$3:$A$500,0))),INDEX(enemigos!$D$3:$D$500,MATCH($A19,enemigos!$A$3:$A$500,0)))</f>
      </c>
      <c r="E19">
        <f>IF(E$12&gt;0,ROUNDUP($D19/E$12,0),"-")</f>
      </c>
      <c r="F19">
        <f>IF(F$12&gt;0,ROUNDUP($D19/F$12,0),"-")</f>
      </c>
      <c r="G19">
        <f>IF(G$12&gt;0,ROUNDUP($D19/G$12,0),"-")</f>
      </c>
      <c r="H19">
        <f>IF(H$12&gt;0,ROUNDUP($D19/H$12,0),"-")</f>
      </c>
      <c r="I19">
        <f>IF(I$12&gt;0,ROUNDUP($D19/I$12,0),"-")</f>
      </c>
      <c r="J19">
        <f>IF(J$12&gt;0,ROUNDUP($D19/J$12,0),"-")</f>
      </c>
      <c r="K19">
        <f>IF(K$12&gt;0,ROUNDUP($D19/K$12,0),"-")</f>
      </c>
      <c r="L19">
        <f>IF(L$12&gt;0,ROUNDUP($D19/L$12,0),"-")</f>
      </c>
      <c r="M19">
        <f>IF(M$12&gt;0,ROUNDUP($D19/M$12,0),"-")</f>
      </c>
      <c r="N19">
        <f>IF(N$12&gt;0,ROUNDUP($D19/N$12,0),"-")</f>
      </c>
      <c r="O19">
        <f>IF(O$12&gt;0,ROUNDUP($D19/O$12,0),"-")</f>
      </c>
      <c r="P19">
        <f>IF(P$12&gt;0,ROUNDUP($D19/P$12,0),"-")</f>
      </c>
      <c r="Q19">
        <f>IF(Q$12&gt;0,ROUNDUP($D19/Q$12,0),"-")</f>
      </c>
      <c r="R19">
        <f>IF(R$12&gt;0,ROUNDUP($D19/R$12,0),"-")</f>
      </c>
      <c r="S19">
        <f>IF(S$12&gt;0,ROUNDUP($D19/S$12,0),"-")</f>
      </c>
      <c r="T19">
        <f>IF(T$12&gt;0,ROUNDUP($D19/T$12,0),"-")</f>
      </c>
      <c r="U19">
        <f>IF(U$12&gt;0,ROUNDUP($D19/U$12,0),"-")</f>
      </c>
      <c r="V19">
        <f>IF(V$12&gt;0,ROUNDUP($D19/V$12,0),"-")</f>
      </c>
      <c r="W19">
        <f>IF(W$12&gt;0,ROUNDUP($D19/W$12,0),"-")</f>
      </c>
      <c r="X19">
        <f>IF(X$12&gt;0,ROUNDUP($D19/X$12,0),"-")</f>
      </c>
      <c r="Y19">
        <f>IF(Y$12&gt;0,ROUNDUP($D19/Y$12,0),"-")</f>
      </c>
      <c r="Z19">
        <f>IF(Z$12&gt;0,ROUNDUP($D19/Z$12,0),"-")</f>
      </c>
      <c r="AA19">
        <f>IF(AA$12&gt;0,ROUNDUP($D19/AA$12,0),"-")</f>
      </c>
      <c r="AB19">
        <f>IF(AB$12&gt;0,ROUNDUP($D19/AB$12,0),"-")</f>
      </c>
      <c r="AC19">
        <f>IF(AC$12&gt;0,ROUNDUP($D19/AC$12,0),"-")</f>
      </c>
    </row>
    <row r="20" spans="1:29" x14ac:dyDescent="0.25">
      <c r="A20" t="s">
        <v>44</v>
      </c>
      <c r="B20">
        <f>INDEX(enemigos!$B$3:$B$500,MATCH($A20,enemigos!$A$3:$A$500,0))</f>
      </c>
      <c r="C20">
        <f>INDEX(enemigos!$C$3:$C$500,MATCH($A20,enemigos!$A$3:$A$500,0))</f>
      </c>
      <c r="D20">
        <f>IF($C20="bicho",INDEX(enemigos!$D$3:$D$500,MATCH($A20,enemigos!$A$3:$A$500,0))*INDEX(ritmo!$B$3:$B$500,MATCH("dureza_vida",ritmo!$A$3:$A$500,0))*(1+$B$4/INDEX(ritmo!$B$3:$B$500,MATCH("vida_escala_seg",ritmo!$A$3:$A$500,0))),INDEX(enemigos!$D$3:$D$500,MATCH($A20,enemigos!$A$3:$A$500,0)))</f>
      </c>
      <c r="E20">
        <f>IF(E$12&gt;0,ROUNDUP($D20/E$12,0),"-")</f>
      </c>
      <c r="F20">
        <f>IF(F$12&gt;0,ROUNDUP($D20/F$12,0),"-")</f>
      </c>
      <c r="G20">
        <f>IF(G$12&gt;0,ROUNDUP($D20/G$12,0),"-")</f>
      </c>
      <c r="H20">
        <f>IF(H$12&gt;0,ROUNDUP($D20/H$12,0),"-")</f>
      </c>
      <c r="I20">
        <f>IF(I$12&gt;0,ROUNDUP($D20/I$12,0),"-")</f>
      </c>
      <c r="J20">
        <f>IF(J$12&gt;0,ROUNDUP($D20/J$12,0),"-")</f>
      </c>
      <c r="K20">
        <f>IF(K$12&gt;0,ROUNDUP($D20/K$12,0),"-")</f>
      </c>
      <c r="L20">
        <f>IF(L$12&gt;0,ROUNDUP($D20/L$12,0),"-")</f>
      </c>
      <c r="M20">
        <f>IF(M$12&gt;0,ROUNDUP($D20/M$12,0),"-")</f>
      </c>
      <c r="N20">
        <f>IF(N$12&gt;0,ROUNDUP($D20/N$12,0),"-")</f>
      </c>
      <c r="O20">
        <f>IF(O$12&gt;0,ROUNDUP($D20/O$12,0),"-")</f>
      </c>
      <c r="P20">
        <f>IF(P$12&gt;0,ROUNDUP($D20/P$12,0),"-")</f>
      </c>
      <c r="Q20">
        <f>IF(Q$12&gt;0,ROUNDUP($D20/Q$12,0),"-")</f>
      </c>
      <c r="R20">
        <f>IF(R$12&gt;0,ROUNDUP($D20/R$12,0),"-")</f>
      </c>
      <c r="S20">
        <f>IF(S$12&gt;0,ROUNDUP($D20/S$12,0),"-")</f>
      </c>
      <c r="T20">
        <f>IF(T$12&gt;0,ROUNDUP($D20/T$12,0),"-")</f>
      </c>
      <c r="U20">
        <f>IF(U$12&gt;0,ROUNDUP($D20/U$12,0),"-")</f>
      </c>
      <c r="V20">
        <f>IF(V$12&gt;0,ROUNDUP($D20/V$12,0),"-")</f>
      </c>
      <c r="W20">
        <f>IF(W$12&gt;0,ROUNDUP($D20/W$12,0),"-")</f>
      </c>
      <c r="X20">
        <f>IF(X$12&gt;0,ROUNDUP($D20/X$12,0),"-")</f>
      </c>
      <c r="Y20">
        <f>IF(Y$12&gt;0,ROUNDUP($D20/Y$12,0),"-")</f>
      </c>
      <c r="Z20">
        <f>IF(Z$12&gt;0,ROUNDUP($D20/Z$12,0),"-")</f>
      </c>
      <c r="AA20">
        <f>IF(AA$12&gt;0,ROUNDUP($D20/AA$12,0),"-")</f>
      </c>
      <c r="AB20">
        <f>IF(AB$12&gt;0,ROUNDUP($D20/AB$12,0),"-")</f>
      </c>
      <c r="AC20">
        <f>IF(AC$12&gt;0,ROUNDUP($D20/AC$12,0),"-")</f>
      </c>
    </row>
    <row r="21" spans="1:29" x14ac:dyDescent="0.25">
      <c r="A21" t="s">
        <v>46</v>
      </c>
      <c r="B21">
        <f>INDEX(enemigos!$B$3:$B$500,MATCH($A21,enemigos!$A$3:$A$500,0))</f>
      </c>
      <c r="C21">
        <f>INDEX(enemigos!$C$3:$C$500,MATCH($A21,enemigos!$A$3:$A$500,0))</f>
      </c>
      <c r="D21">
        <f>IF($C21="bicho",INDEX(enemigos!$D$3:$D$500,MATCH($A21,enemigos!$A$3:$A$500,0))*INDEX(ritmo!$B$3:$B$500,MATCH("dureza_vida",ritmo!$A$3:$A$500,0))*(1+$B$4/INDEX(ritmo!$B$3:$B$500,MATCH("vida_escala_seg",ritmo!$A$3:$A$500,0))),INDEX(enemigos!$D$3:$D$500,MATCH($A21,enemigos!$A$3:$A$500,0)))</f>
      </c>
      <c r="E21">
        <f>IF(E$12&gt;0,ROUNDUP($D21/E$12,0),"-")</f>
      </c>
      <c r="F21">
        <f>IF(F$12&gt;0,ROUNDUP($D21/F$12,0),"-")</f>
      </c>
      <c r="G21">
        <f>IF(G$12&gt;0,ROUNDUP($D21/G$12,0),"-")</f>
      </c>
      <c r="H21">
        <f>IF(H$12&gt;0,ROUNDUP($D21/H$12,0),"-")</f>
      </c>
      <c r="I21">
        <f>IF(I$12&gt;0,ROUNDUP($D21/I$12,0),"-")</f>
      </c>
      <c r="J21">
        <f>IF(J$12&gt;0,ROUNDUP($D21/J$12,0),"-")</f>
      </c>
      <c r="K21">
        <f>IF(K$12&gt;0,ROUNDUP($D21/K$12,0),"-")</f>
      </c>
      <c r="L21">
        <f>IF(L$12&gt;0,ROUNDUP($D21/L$12,0),"-")</f>
      </c>
      <c r="M21">
        <f>IF(M$12&gt;0,ROUNDUP($D21/M$12,0),"-")</f>
      </c>
      <c r="N21">
        <f>IF(N$12&gt;0,ROUNDUP($D21/N$12,0),"-")</f>
      </c>
      <c r="O21">
        <f>IF(O$12&gt;0,ROUNDUP($D21/O$12,0),"-")</f>
      </c>
      <c r="P21">
        <f>IF(P$12&gt;0,ROUNDUP($D21/P$12,0),"-")</f>
      </c>
      <c r="Q21">
        <f>IF(Q$12&gt;0,ROUNDUP($D21/Q$12,0),"-")</f>
      </c>
      <c r="R21">
        <f>IF(R$12&gt;0,ROUNDUP($D21/R$12,0),"-")</f>
      </c>
      <c r="S21">
        <f>IF(S$12&gt;0,ROUNDUP($D21/S$12,0),"-")</f>
      </c>
      <c r="T21">
        <f>IF(T$12&gt;0,ROUNDUP($D21/T$12,0),"-")</f>
      </c>
      <c r="U21">
        <f>IF(U$12&gt;0,ROUNDUP($D21/U$12,0),"-")</f>
      </c>
      <c r="V21">
        <f>IF(V$12&gt;0,ROUNDUP($D21/V$12,0),"-")</f>
      </c>
      <c r="W21">
        <f>IF(W$12&gt;0,ROUNDUP($D21/W$12,0),"-")</f>
      </c>
      <c r="X21">
        <f>IF(X$12&gt;0,ROUNDUP($D21/X$12,0),"-")</f>
      </c>
      <c r="Y21">
        <f>IF(Y$12&gt;0,ROUNDUP($D21/Y$12,0),"-")</f>
      </c>
      <c r="Z21">
        <f>IF(Z$12&gt;0,ROUNDUP($D21/Z$12,0),"-")</f>
      </c>
      <c r="AA21">
        <f>IF(AA$12&gt;0,ROUNDUP($D21/AA$12,0),"-")</f>
      </c>
      <c r="AB21">
        <f>IF(AB$12&gt;0,ROUNDUP($D21/AB$12,0),"-")</f>
      </c>
      <c r="AC21">
        <f>IF(AC$12&gt;0,ROUNDUP($D21/AC$12,0),"-")</f>
      </c>
    </row>
    <row r="22" spans="1:29" x14ac:dyDescent="0.25">
      <c r="A22" t="s">
        <v>48</v>
      </c>
      <c r="B22">
        <f>INDEX(enemigos!$B$3:$B$500,MATCH($A22,enemigos!$A$3:$A$500,0))</f>
      </c>
      <c r="C22">
        <f>INDEX(enemigos!$C$3:$C$500,MATCH($A22,enemigos!$A$3:$A$500,0))</f>
      </c>
      <c r="D22">
        <f>IF($C22="bicho",INDEX(enemigos!$D$3:$D$500,MATCH($A22,enemigos!$A$3:$A$500,0))*INDEX(ritmo!$B$3:$B$500,MATCH("dureza_vida",ritmo!$A$3:$A$500,0))*(1+$B$4/INDEX(ritmo!$B$3:$B$500,MATCH("vida_escala_seg",ritmo!$A$3:$A$500,0))),INDEX(enemigos!$D$3:$D$500,MATCH($A22,enemigos!$A$3:$A$500,0)))</f>
      </c>
      <c r="E22">
        <f>IF(E$12&gt;0,ROUNDUP($D22/E$12,0),"-")</f>
      </c>
      <c r="F22">
        <f>IF(F$12&gt;0,ROUNDUP($D22/F$12,0),"-")</f>
      </c>
      <c r="G22">
        <f>IF(G$12&gt;0,ROUNDUP($D22/G$12,0),"-")</f>
      </c>
      <c r="H22">
        <f>IF(H$12&gt;0,ROUNDUP($D22/H$12,0),"-")</f>
      </c>
      <c r="I22">
        <f>IF(I$12&gt;0,ROUNDUP($D22/I$12,0),"-")</f>
      </c>
      <c r="J22">
        <f>IF(J$12&gt;0,ROUNDUP($D22/J$12,0),"-")</f>
      </c>
      <c r="K22">
        <f>IF(K$12&gt;0,ROUNDUP($D22/K$12,0),"-")</f>
      </c>
      <c r="L22">
        <f>IF(L$12&gt;0,ROUNDUP($D22/L$12,0),"-")</f>
      </c>
      <c r="M22">
        <f>IF(M$12&gt;0,ROUNDUP($D22/M$12,0),"-")</f>
      </c>
      <c r="N22">
        <f>IF(N$12&gt;0,ROUNDUP($D22/N$12,0),"-")</f>
      </c>
      <c r="O22">
        <f>IF(O$12&gt;0,ROUNDUP($D22/O$12,0),"-")</f>
      </c>
      <c r="P22">
        <f>IF(P$12&gt;0,ROUNDUP($D22/P$12,0),"-")</f>
      </c>
      <c r="Q22">
        <f>IF(Q$12&gt;0,ROUNDUP($D22/Q$12,0),"-")</f>
      </c>
      <c r="R22">
        <f>IF(R$12&gt;0,ROUNDUP($D22/R$12,0),"-")</f>
      </c>
      <c r="S22">
        <f>IF(S$12&gt;0,ROUNDUP($D22/S$12,0),"-")</f>
      </c>
      <c r="T22">
        <f>IF(T$12&gt;0,ROUNDUP($D22/T$12,0),"-")</f>
      </c>
      <c r="U22">
        <f>IF(U$12&gt;0,ROUNDUP($D22/U$12,0),"-")</f>
      </c>
      <c r="V22">
        <f>IF(V$12&gt;0,ROUNDUP($D22/V$12,0),"-")</f>
      </c>
      <c r="W22">
        <f>IF(W$12&gt;0,ROUNDUP($D22/W$12,0),"-")</f>
      </c>
      <c r="X22">
        <f>IF(X$12&gt;0,ROUNDUP($D22/X$12,0),"-")</f>
      </c>
      <c r="Y22">
        <f>IF(Y$12&gt;0,ROUNDUP($D22/Y$12,0),"-")</f>
      </c>
      <c r="Z22">
        <f>IF(Z$12&gt;0,ROUNDUP($D22/Z$12,0),"-")</f>
      </c>
      <c r="AA22">
        <f>IF(AA$12&gt;0,ROUNDUP($D22/AA$12,0),"-")</f>
      </c>
      <c r="AB22">
        <f>IF(AB$12&gt;0,ROUNDUP($D22/AB$12,0),"-")</f>
      </c>
      <c r="AC22">
        <f>IF(AC$12&gt;0,ROUNDUP($D22/AC$12,0),"-")</f>
      </c>
    </row>
    <row r="23" spans="1:29" x14ac:dyDescent="0.25">
      <c r="A23" t="s">
        <v>50</v>
      </c>
      <c r="B23">
        <f>INDEX(enemigos!$B$3:$B$500,MATCH($A23,enemigos!$A$3:$A$500,0))</f>
      </c>
      <c r="C23">
        <f>INDEX(enemigos!$C$3:$C$500,MATCH($A23,enemigos!$A$3:$A$500,0))</f>
      </c>
      <c r="D23">
        <f>IF($C23="bicho",INDEX(enemigos!$D$3:$D$500,MATCH($A23,enemigos!$A$3:$A$500,0))*INDEX(ritmo!$B$3:$B$500,MATCH("dureza_vida",ritmo!$A$3:$A$500,0))*(1+$B$4/INDEX(ritmo!$B$3:$B$500,MATCH("vida_escala_seg",ritmo!$A$3:$A$500,0))),INDEX(enemigos!$D$3:$D$500,MATCH($A23,enemigos!$A$3:$A$500,0)))</f>
      </c>
      <c r="E23">
        <f>IF(E$12&gt;0,ROUNDUP($D23/E$12,0),"-")</f>
      </c>
      <c r="F23">
        <f>IF(F$12&gt;0,ROUNDUP($D23/F$12,0),"-")</f>
      </c>
      <c r="G23">
        <f>IF(G$12&gt;0,ROUNDUP($D23/G$12,0),"-")</f>
      </c>
      <c r="H23">
        <f>IF(H$12&gt;0,ROUNDUP($D23/H$12,0),"-")</f>
      </c>
      <c r="I23">
        <f>IF(I$12&gt;0,ROUNDUP($D23/I$12,0),"-")</f>
      </c>
      <c r="J23">
        <f>IF(J$12&gt;0,ROUNDUP($D23/J$12,0),"-")</f>
      </c>
      <c r="K23">
        <f>IF(K$12&gt;0,ROUNDUP($D23/K$12,0),"-")</f>
      </c>
      <c r="L23">
        <f>IF(L$12&gt;0,ROUNDUP($D23/L$12,0),"-")</f>
      </c>
      <c r="M23">
        <f>IF(M$12&gt;0,ROUNDUP($D23/M$12,0),"-")</f>
      </c>
      <c r="N23">
        <f>IF(N$12&gt;0,ROUNDUP($D23/N$12,0),"-")</f>
      </c>
      <c r="O23">
        <f>IF(O$12&gt;0,ROUNDUP($D23/O$12,0),"-")</f>
      </c>
      <c r="P23">
        <f>IF(P$12&gt;0,ROUNDUP($D23/P$12,0),"-")</f>
      </c>
      <c r="Q23">
        <f>IF(Q$12&gt;0,ROUNDUP($D23/Q$12,0),"-")</f>
      </c>
      <c r="R23">
        <f>IF(R$12&gt;0,ROUNDUP($D23/R$12,0),"-")</f>
      </c>
      <c r="S23">
        <f>IF(S$12&gt;0,ROUNDUP($D23/S$12,0),"-")</f>
      </c>
      <c r="T23">
        <f>IF(T$12&gt;0,ROUNDUP($D23/T$12,0),"-")</f>
      </c>
      <c r="U23">
        <f>IF(U$12&gt;0,ROUNDUP($D23/U$12,0),"-")</f>
      </c>
      <c r="V23">
        <f>IF(V$12&gt;0,ROUNDUP($D23/V$12,0),"-")</f>
      </c>
      <c r="W23">
        <f>IF(W$12&gt;0,ROUNDUP($D23/W$12,0),"-")</f>
      </c>
      <c r="X23">
        <f>IF(X$12&gt;0,ROUNDUP($D23/X$12,0),"-")</f>
      </c>
      <c r="Y23">
        <f>IF(Y$12&gt;0,ROUNDUP($D23/Y$12,0),"-")</f>
      </c>
      <c r="Z23">
        <f>IF(Z$12&gt;0,ROUNDUP($D23/Z$12,0),"-")</f>
      </c>
      <c r="AA23">
        <f>IF(AA$12&gt;0,ROUNDUP($D23/AA$12,0),"-")</f>
      </c>
      <c r="AB23">
        <f>IF(AB$12&gt;0,ROUNDUP($D23/AB$12,0),"-")</f>
      </c>
      <c r="AC23">
        <f>IF(AC$12&gt;0,ROUNDUP($D23/AC$12,0),"-")</f>
      </c>
    </row>
    <row r="24" spans="1:29" x14ac:dyDescent="0.25">
      <c r="A24" t="s">
        <v>53</v>
      </c>
      <c r="B24">
        <f>INDEX(enemigos!$B$3:$B$500,MATCH($A24,enemigos!$A$3:$A$500,0))</f>
      </c>
      <c r="C24">
        <f>INDEX(enemigos!$C$3:$C$500,MATCH($A24,enemigos!$A$3:$A$500,0))</f>
      </c>
      <c r="D24">
        <f>IF($C24="bicho",INDEX(enemigos!$D$3:$D$500,MATCH($A24,enemigos!$A$3:$A$500,0))*INDEX(ritmo!$B$3:$B$500,MATCH("dureza_vida",ritmo!$A$3:$A$500,0))*(1+$B$4/INDEX(ritmo!$B$3:$B$500,MATCH("vida_escala_seg",ritmo!$A$3:$A$500,0))),INDEX(enemigos!$D$3:$D$500,MATCH($A24,enemigos!$A$3:$A$500,0)))</f>
      </c>
      <c r="E24">
        <f>IF(E$12&gt;0,ROUNDUP($D24/E$12,0),"-")</f>
      </c>
      <c r="F24">
        <f>IF(F$12&gt;0,ROUNDUP($D24/F$12,0),"-")</f>
      </c>
      <c r="G24">
        <f>IF(G$12&gt;0,ROUNDUP($D24/G$12,0),"-")</f>
      </c>
      <c r="H24">
        <f>IF(H$12&gt;0,ROUNDUP($D24/H$12,0),"-")</f>
      </c>
      <c r="I24">
        <f>IF(I$12&gt;0,ROUNDUP($D24/I$12,0),"-")</f>
      </c>
      <c r="J24">
        <f>IF(J$12&gt;0,ROUNDUP($D24/J$12,0),"-")</f>
      </c>
      <c r="K24">
        <f>IF(K$12&gt;0,ROUNDUP($D24/K$12,0),"-")</f>
      </c>
      <c r="L24">
        <f>IF(L$12&gt;0,ROUNDUP($D24/L$12,0),"-")</f>
      </c>
      <c r="M24">
        <f>IF(M$12&gt;0,ROUNDUP($D24/M$12,0),"-")</f>
      </c>
      <c r="N24">
        <f>IF(N$12&gt;0,ROUNDUP($D24/N$12,0),"-")</f>
      </c>
      <c r="O24">
        <f>IF(O$12&gt;0,ROUNDUP($D24/O$12,0),"-")</f>
      </c>
      <c r="P24">
        <f>IF(P$12&gt;0,ROUNDUP($D24/P$12,0),"-")</f>
      </c>
      <c r="Q24">
        <f>IF(Q$12&gt;0,ROUNDUP($D24/Q$12,0),"-")</f>
      </c>
      <c r="R24">
        <f>IF(R$12&gt;0,ROUNDUP($D24/R$12,0),"-")</f>
      </c>
      <c r="S24">
        <f>IF(S$12&gt;0,ROUNDUP($D24/S$12,0),"-")</f>
      </c>
      <c r="T24">
        <f>IF(T$12&gt;0,ROUNDUP($D24/T$12,0),"-")</f>
      </c>
      <c r="U24">
        <f>IF(U$12&gt;0,ROUNDUP($D24/U$12,0),"-")</f>
      </c>
      <c r="V24">
        <f>IF(V$12&gt;0,ROUNDUP($D24/V$12,0),"-")</f>
      </c>
      <c r="W24">
        <f>IF(W$12&gt;0,ROUNDUP($D24/W$12,0),"-")</f>
      </c>
      <c r="X24">
        <f>IF(X$12&gt;0,ROUNDUP($D24/X$12,0),"-")</f>
      </c>
      <c r="Y24">
        <f>IF(Y$12&gt;0,ROUNDUP($D24/Y$12,0),"-")</f>
      </c>
      <c r="Z24">
        <f>IF(Z$12&gt;0,ROUNDUP($D24/Z$12,0),"-")</f>
      </c>
      <c r="AA24">
        <f>IF(AA$12&gt;0,ROUNDUP($D24/AA$12,0),"-")</f>
      </c>
      <c r="AB24">
        <f>IF(AB$12&gt;0,ROUNDUP($D24/AB$12,0),"-")</f>
      </c>
      <c r="AC24">
        <f>IF(AC$12&gt;0,ROUNDUP($D24/AC$12,0),"-")</f>
      </c>
    </row>
    <row r="25" spans="1:29" x14ac:dyDescent="0.25">
      <c r="A25" t="s">
        <v>55</v>
      </c>
      <c r="B25">
        <f>INDEX(enemigos!$B$3:$B$500,MATCH($A25,enemigos!$A$3:$A$500,0))</f>
      </c>
      <c r="C25">
        <f>INDEX(enemigos!$C$3:$C$500,MATCH($A25,enemigos!$A$3:$A$500,0))</f>
      </c>
      <c r="D25">
        <f>IF($C25="bicho",INDEX(enemigos!$D$3:$D$500,MATCH($A25,enemigos!$A$3:$A$500,0))*INDEX(ritmo!$B$3:$B$500,MATCH("dureza_vida",ritmo!$A$3:$A$500,0))*(1+$B$4/INDEX(ritmo!$B$3:$B$500,MATCH("vida_escala_seg",ritmo!$A$3:$A$500,0))),INDEX(enemigos!$D$3:$D$500,MATCH($A25,enemigos!$A$3:$A$500,0)))</f>
      </c>
      <c r="E25">
        <f>IF(E$12&gt;0,ROUNDUP($D25/E$12,0),"-")</f>
      </c>
      <c r="F25">
        <f>IF(F$12&gt;0,ROUNDUP($D25/F$12,0),"-")</f>
      </c>
      <c r="G25">
        <f>IF(G$12&gt;0,ROUNDUP($D25/G$12,0),"-")</f>
      </c>
      <c r="H25">
        <f>IF(H$12&gt;0,ROUNDUP($D25/H$12,0),"-")</f>
      </c>
      <c r="I25">
        <f>IF(I$12&gt;0,ROUNDUP($D25/I$12,0),"-")</f>
      </c>
      <c r="J25">
        <f>IF(J$12&gt;0,ROUNDUP($D25/J$12,0),"-")</f>
      </c>
      <c r="K25">
        <f>IF(K$12&gt;0,ROUNDUP($D25/K$12,0),"-")</f>
      </c>
      <c r="L25">
        <f>IF(L$12&gt;0,ROUNDUP($D25/L$12,0),"-")</f>
      </c>
      <c r="M25">
        <f>IF(M$12&gt;0,ROUNDUP($D25/M$12,0),"-")</f>
      </c>
      <c r="N25">
        <f>IF(N$12&gt;0,ROUNDUP($D25/N$12,0),"-")</f>
      </c>
      <c r="O25">
        <f>IF(O$12&gt;0,ROUNDUP($D25/O$12,0),"-")</f>
      </c>
      <c r="P25">
        <f>IF(P$12&gt;0,ROUNDUP($D25/P$12,0),"-")</f>
      </c>
      <c r="Q25">
        <f>IF(Q$12&gt;0,ROUNDUP($D25/Q$12,0),"-")</f>
      </c>
      <c r="R25">
        <f>IF(R$12&gt;0,ROUNDUP($D25/R$12,0),"-")</f>
      </c>
      <c r="S25">
        <f>IF(S$12&gt;0,ROUNDUP($D25/S$12,0),"-")</f>
      </c>
      <c r="T25">
        <f>IF(T$12&gt;0,ROUNDUP($D25/T$12,0),"-")</f>
      </c>
      <c r="U25">
        <f>IF(U$12&gt;0,ROUNDUP($D25/U$12,0),"-")</f>
      </c>
      <c r="V25">
        <f>IF(V$12&gt;0,ROUNDUP($D25/V$12,0),"-")</f>
      </c>
      <c r="W25">
        <f>IF(W$12&gt;0,ROUNDUP($D25/W$12,0),"-")</f>
      </c>
      <c r="X25">
        <f>IF(X$12&gt;0,ROUNDUP($D25/X$12,0),"-")</f>
      </c>
      <c r="Y25">
        <f>IF(Y$12&gt;0,ROUNDUP($D25/Y$12,0),"-")</f>
      </c>
      <c r="Z25">
        <f>IF(Z$12&gt;0,ROUNDUP($D25/Z$12,0),"-")</f>
      </c>
      <c r="AA25">
        <f>IF(AA$12&gt;0,ROUNDUP($D25/AA$12,0),"-")</f>
      </c>
      <c r="AB25">
        <f>IF(AB$12&gt;0,ROUNDUP($D25/AB$12,0),"-")</f>
      </c>
      <c r="AC25">
        <f>IF(AC$12&gt;0,ROUNDUP($D25/AC$12,0),"-")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cols>
    <col min="1" max="1" width="70" customWidth="1"/>
    <col min="2" max="2" width="26" customWidth="1"/>
    <col min="3" max="4" width="12" customWidth="1"/>
    <col min="5" max="5" width="24" customWidth="1"/>
    <col min="6" max="6" width="22" customWidth="1"/>
    <col min="7" max="7" width="10" customWidth="1"/>
  </cols>
  <sheetData>
    <row r="1" spans="1:1" x14ac:dyDescent="0.25">
      <c r="A1" s="6" t="s">
        <v>950</v>
      </c>
    </row>
    <row r="2" spans="1:1" x14ac:dyDescent="0.25">
      <c r="A2" t="s">
        <v>951</v>
      </c>
    </row>
    <row r="4" spans="1:2" x14ac:dyDescent="0.25">
      <c r="A4" t="s">
        <v>952</v>
      </c>
      <c r="B4" s="7">
        <v>0.8</v>
      </c>
    </row>
    <row r="6" spans="1:7" x14ac:dyDescent="0.25">
      <c r="A6" s="3" t="s">
        <v>6</v>
      </c>
      <c r="B6" s="3" t="s">
        <v>7</v>
      </c>
      <c r="C6" s="3" t="s">
        <v>8</v>
      </c>
      <c r="D6" s="3" t="s">
        <v>953</v>
      </c>
      <c r="E6" s="3" t="s">
        <v>954</v>
      </c>
      <c r="F6" s="3" t="s">
        <v>955</v>
      </c>
      <c r="G6" s="3" t="s">
        <v>956</v>
      </c>
    </row>
    <row r="7" spans="1:7" x14ac:dyDescent="0.25">
      <c r="A7" t="s">
        <v>41</v>
      </c>
      <c r="B7">
        <f>INDEX(enemigos!$B$3:$B$500,MATCH($A7,enemigos!$A$3:$A$500,0))</f>
      </c>
      <c r="C7">
        <f>INDEX(enemigos!$C$3:$C$500,MATCH($A7,enemigos!$A$3:$A$500,0))</f>
      </c>
      <c r="D7">
        <f>INDEX(enemigos!$D$3:$D$500,MATCH($A7,enemigos!$A$3:$A$500,0))*IF($C7="jefe_final",1+INDEX(ataques!$B$3:$B$500,MATCH("segunda_barra_vida",ataques!$A$3:$A$500,0)),1)</f>
      </c>
      <c r="E7" s="7">
        <v>200</v>
      </c>
      <c r="F7" s="11">
        <f>IF($E7*$B$4&gt;0,$D7/($E7*$B$4),"-")</f>
      </c>
      <c r="G7" s="11">
        <f>IF(ISNUMBER($F7),$F7/60,"-")</f>
      </c>
    </row>
    <row r="8" spans="1:7" x14ac:dyDescent="0.25">
      <c r="A8" t="s">
        <v>44</v>
      </c>
      <c r="B8">
        <f>INDEX(enemigos!$B$3:$B$500,MATCH($A8,enemigos!$A$3:$A$500,0))</f>
      </c>
      <c r="C8">
        <f>INDEX(enemigos!$C$3:$C$500,MATCH($A8,enemigos!$A$3:$A$500,0))</f>
      </c>
      <c r="D8">
        <f>INDEX(enemigos!$D$3:$D$500,MATCH($A8,enemigos!$A$3:$A$500,0))*IF($C8="jefe_final",1+INDEX(ataques!$B$3:$B$500,MATCH("segunda_barra_vida",ataques!$A$3:$A$500,0)),1)</f>
      </c>
      <c r="E8" s="7">
        <v>200</v>
      </c>
      <c r="F8" s="11">
        <f>IF($E8*$B$4&gt;0,$D8/($E8*$B$4),"-")</f>
      </c>
      <c r="G8" s="11">
        <f>IF(ISNUMBER($F8),$F8/60,"-")</f>
      </c>
    </row>
    <row r="9" spans="1:7" x14ac:dyDescent="0.25">
      <c r="A9" t="s">
        <v>46</v>
      </c>
      <c r="B9">
        <f>INDEX(enemigos!$B$3:$B$500,MATCH($A9,enemigos!$A$3:$A$500,0))</f>
      </c>
      <c r="C9">
        <f>INDEX(enemigos!$C$3:$C$500,MATCH($A9,enemigos!$A$3:$A$500,0))</f>
      </c>
      <c r="D9">
        <f>INDEX(enemigos!$D$3:$D$500,MATCH($A9,enemigos!$A$3:$A$500,0))*IF($C9="jefe_final",1+INDEX(ataques!$B$3:$B$500,MATCH("segunda_barra_vida",ataques!$A$3:$A$500,0)),1)</f>
      </c>
      <c r="E9" s="7">
        <v>200</v>
      </c>
      <c r="F9" s="11">
        <f>IF($E9*$B$4&gt;0,$D9/($E9*$B$4),"-")</f>
      </c>
      <c r="G9" s="11">
        <f>IF(ISNUMBER($F9),$F9/60,"-")</f>
      </c>
    </row>
    <row r="10" spans="1:7" x14ac:dyDescent="0.25">
      <c r="A10" t="s">
        <v>48</v>
      </c>
      <c r="B10">
        <f>INDEX(enemigos!$B$3:$B$500,MATCH($A10,enemigos!$A$3:$A$500,0))</f>
      </c>
      <c r="C10">
        <f>INDEX(enemigos!$C$3:$C$500,MATCH($A10,enemigos!$A$3:$A$500,0))</f>
      </c>
      <c r="D10">
        <f>INDEX(enemigos!$D$3:$D$500,MATCH($A10,enemigos!$A$3:$A$500,0))*IF($C10="jefe_final",1+INDEX(ataques!$B$3:$B$500,MATCH("segunda_barra_vida",ataques!$A$3:$A$500,0)),1)</f>
      </c>
      <c r="E10" s="7">
        <v>200</v>
      </c>
      <c r="F10" s="11">
        <f>IF($E10*$B$4&gt;0,$D10/($E10*$B$4),"-")</f>
      </c>
      <c r="G10" s="11">
        <f>IF(ISNUMBER($F10),$F10/60,"-")</f>
      </c>
    </row>
    <row r="11" spans="1:7" x14ac:dyDescent="0.25">
      <c r="A11" t="s">
        <v>50</v>
      </c>
      <c r="B11">
        <f>INDEX(enemigos!$B$3:$B$500,MATCH($A11,enemigos!$A$3:$A$500,0))</f>
      </c>
      <c r="C11">
        <f>INDEX(enemigos!$C$3:$C$500,MATCH($A11,enemigos!$A$3:$A$500,0))</f>
      </c>
      <c r="D11">
        <f>INDEX(enemigos!$D$3:$D$500,MATCH($A11,enemigos!$A$3:$A$500,0))*IF($C11="jefe_final",1+INDEX(ataques!$B$3:$B$500,MATCH("segunda_barra_vida",ataques!$A$3:$A$500,0)),1)</f>
      </c>
      <c r="E11" s="7">
        <v>600</v>
      </c>
      <c r="F11" s="11">
        <f>IF($E11*$B$4&gt;0,$D11/($E11*$B$4),"-")</f>
      </c>
      <c r="G11" s="11">
        <f>IF(ISNUMBER($F11),$F11/60,"-")</f>
      </c>
    </row>
    <row r="12" spans="1:7" x14ac:dyDescent="0.25">
      <c r="A12" t="s">
        <v>53</v>
      </c>
      <c r="B12">
        <f>INDEX(enemigos!$B$3:$B$500,MATCH($A12,enemigos!$A$3:$A$500,0))</f>
      </c>
      <c r="C12">
        <f>INDEX(enemigos!$C$3:$C$500,MATCH($A12,enemigos!$A$3:$A$500,0))</f>
      </c>
      <c r="D12">
        <f>INDEX(enemigos!$D$3:$D$500,MATCH($A12,enemigos!$A$3:$A$500,0))*IF($C12="jefe_final",1+INDEX(ataques!$B$3:$B$500,MATCH("segunda_barra_vida",ataques!$A$3:$A$500,0)),1)</f>
      </c>
      <c r="E12" s="7">
        <v>600</v>
      </c>
      <c r="F12" s="11">
        <f>IF($E12*$B$4&gt;0,$D12/($E12*$B$4),"-")</f>
      </c>
      <c r="G12" s="11">
        <f>IF(ISNUMBER($F12),$F12/60,"-")</f>
      </c>
    </row>
    <row r="13" spans="1:7" x14ac:dyDescent="0.25">
      <c r="A13" t="s">
        <v>55</v>
      </c>
      <c r="B13">
        <f>INDEX(enemigos!$B$3:$B$500,MATCH($A13,enemigos!$A$3:$A$500,0))</f>
      </c>
      <c r="C13">
        <f>INDEX(enemigos!$C$3:$C$500,MATCH($A13,enemigos!$A$3:$A$500,0))</f>
      </c>
      <c r="D13">
        <f>INDEX(enemigos!$D$3:$D$500,MATCH($A13,enemigos!$A$3:$A$500,0))*IF($C13="jefe_final",1+INDEX(ataques!$B$3:$B$500,MATCH("segunda_barra_vida",ataques!$A$3:$A$500,0)),1)</f>
      </c>
      <c r="E13" s="7">
        <v>600</v>
      </c>
      <c r="F13" s="11">
        <f>IF($E13*$B$4&gt;0,$D13/($E13*$B$4),"-")</f>
      </c>
      <c r="G13" s="11">
        <f>IF(ISNUMBER($F13),$F13/60,"-")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8"/>
  <sheetViews>
    <sheetView workbookViewId="0">
      <pane xSplit="3" ySplit="10" topLeftCell="D11" activePane="bottomRight" state="frozen"/>
      <selection pane="bottomRight"/>
    </sheetView>
  </sheetViews>
  <sheetFormatPr defaultRowHeight="15" outlineLevelRow="0" outlineLevelCol="0" x14ac:dyDescent="55"/>
  <cols>
    <col min="1" max="1" width="70" customWidth="1"/>
    <col min="2" max="3" width="26" customWidth="1"/>
    <col min="14" max="14" width="10" customWidth="1"/>
  </cols>
  <sheetData>
    <row r="1" spans="1:1" x14ac:dyDescent="0.25">
      <c r="A1" s="6" t="s">
        <v>957</v>
      </c>
    </row>
    <row r="2" spans="1:1" x14ac:dyDescent="0.25">
      <c r="A2" t="s">
        <v>958</v>
      </c>
    </row>
    <row r="4" spans="1:2" x14ac:dyDescent="0.25">
      <c r="A4" t="s">
        <v>959</v>
      </c>
      <c r="B4" s="12">
        <f>INDEX(ritmo!$B$3:$B$500,MATCH("tornillos_partida_tipica",ritmo!$A$3:$A$500,0))</f>
      </c>
    </row>
    <row r="5" spans="1:2" x14ac:dyDescent="0.25">
      <c r="A5" t="s">
        <v>960</v>
      </c>
      <c r="B5" s="7">
        <v>420</v>
      </c>
    </row>
    <row r="6" spans="1:2" x14ac:dyDescent="0.25">
      <c r="A6" t="s">
        <v>961</v>
      </c>
      <c r="B6" s="7">
        <v>600</v>
      </c>
    </row>
    <row r="7" spans="1:2" x14ac:dyDescent="0.25">
      <c r="A7" t="s">
        <v>962</v>
      </c>
      <c r="B7" s="7">
        <v>1</v>
      </c>
    </row>
    <row r="8" spans="1:2" x14ac:dyDescent="0.25">
      <c r="A8" t="s">
        <v>963</v>
      </c>
      <c r="B8">
        <f>INT((B7*INDEX(ritmo!$B$3:$B$500,MATCH("tornillos_jefe",ritmo!$A$3:$A$500,0))+INT(B5/INDEX(ritmo!$B$3:$B$500,MATCH("tornillos_div_tiempo",ritmo!$A$3:$A$500,0)))+INT(B6*INDEX(ritmo!$B$3:$B$500,MATCH("dureza_xp",ritmo!$A$3:$A$500,0))/INDEX(ritmo!$B$3:$B$500,MATCH("tornillos_div_bajas",ritmo!$A$3:$A$500,0)))))</f>
      </c>
    </row>
    <row r="10" spans="1:14" x14ac:dyDescent="0.25">
      <c r="A10" s="3" t="s">
        <v>8</v>
      </c>
      <c r="B10" s="3" t="s">
        <v>6</v>
      </c>
      <c r="C10" s="3" t="s">
        <v>7</v>
      </c>
      <c r="D10" s="3" t="s">
        <v>225</v>
      </c>
      <c r="E10" s="3" t="s">
        <v>226</v>
      </c>
      <c r="F10" s="3" t="s">
        <v>227</v>
      </c>
      <c r="G10" s="3" t="s">
        <v>228</v>
      </c>
      <c r="H10" s="3" t="s">
        <v>229</v>
      </c>
      <c r="I10" s="3" t="s">
        <v>230</v>
      </c>
      <c r="J10" s="3" t="s">
        <v>231</v>
      </c>
      <c r="K10" s="3" t="s">
        <v>232</v>
      </c>
      <c r="L10" s="3" t="s">
        <v>233</v>
      </c>
      <c r="M10" s="3" t="s">
        <v>234</v>
      </c>
      <c r="N10" s="3" t="s">
        <v>964</v>
      </c>
    </row>
    <row r="11" spans="1:14" x14ac:dyDescent="0.25">
      <c r="A11" t="s">
        <v>248</v>
      </c>
      <c r="B11" t="s">
        <v>247</v>
      </c>
      <c r="C11">
        <f>INDEX(precios!$C$3:$C$500,MATCH($B11,precios!$A$3:$A$500,0))</f>
      </c>
      <c r="D11" s="11">
        <f>IF(INDEX(precios!$E$3:$E$500,MATCH($B11,precios!$A$3:$A$500,0))&gt;0,INDEX(precios!$E$3:$E$500,MATCH($B11,precios!$A$3:$A$500,0))/$B$4,"")</f>
      </c>
      <c r="E11" s="11">
        <f>IF(INDEX(precios!$F$3:$F$500,MATCH($B11,precios!$A$3:$A$500,0))&gt;0,INDEX(precios!$F$3:$F$500,MATCH($B11,precios!$A$3:$A$500,0))/$B$4,"")</f>
      </c>
      <c r="F11" s="11">
        <f>IF(INDEX(precios!$G$3:$G$500,MATCH($B11,precios!$A$3:$A$500,0))&gt;0,INDEX(precios!$G$3:$G$500,MATCH($B11,precios!$A$3:$A$500,0))/$B$4,"")</f>
      </c>
      <c r="G11" s="11">
        <f>IF(INDEX(precios!$H$3:$H$500,MATCH($B11,precios!$A$3:$A$500,0))&gt;0,INDEX(precios!$H$3:$H$500,MATCH($B11,precios!$A$3:$A$500,0))/$B$4,"")</f>
      </c>
      <c r="H11" s="11">
        <f>IF(INDEX(precios!$I$3:$I$500,MATCH($B11,precios!$A$3:$A$500,0))&gt;0,INDEX(precios!$I$3:$I$500,MATCH($B11,precios!$A$3:$A$500,0))/$B$4,"")</f>
      </c>
      <c r="I11" s="11">
        <f>IF(INDEX(precios!$J$3:$J$500,MATCH($B11,precios!$A$3:$A$500,0))&gt;0,INDEX(precios!$J$3:$J$500,MATCH($B11,precios!$A$3:$A$500,0))/$B$4,"")</f>
      </c>
      <c r="J11" s="11">
        <f>IF(INDEX(precios!$K$3:$K$500,MATCH($B11,precios!$A$3:$A$500,0))&gt;0,INDEX(precios!$K$3:$K$500,MATCH($B11,precios!$A$3:$A$500,0))/$B$4,"")</f>
      </c>
      <c r="K11" s="11">
        <f>IF(INDEX(precios!$L$3:$L$500,MATCH($B11,precios!$A$3:$A$500,0))&gt;0,INDEX(precios!$L$3:$L$500,MATCH($B11,precios!$A$3:$A$500,0))/$B$4,"")</f>
      </c>
      <c r="L11" s="11">
        <f>IF(INDEX(precios!$M$3:$M$500,MATCH($B11,precios!$A$3:$A$500,0))&gt;0,INDEX(precios!$M$3:$M$500,MATCH($B11,precios!$A$3:$A$500,0))/$B$4,"")</f>
      </c>
      <c r="M11" s="11">
        <f>IF(INDEX(precios!$N$3:$N$500,MATCH($B11,precios!$A$3:$A$500,0))&gt;0,INDEX(precios!$N$3:$N$500,MATCH($B11,precios!$A$3:$A$500,0))/$B$4,"")</f>
      </c>
      <c r="N11" s="11">
        <f>SUM(D11:M11)</f>
      </c>
    </row>
    <row r="12" spans="1:14" x14ac:dyDescent="0.25">
      <c r="A12" t="s">
        <v>248</v>
      </c>
      <c r="B12" t="s">
        <v>250</v>
      </c>
      <c r="C12">
        <f>INDEX(precios!$C$3:$C$500,MATCH($B12,precios!$A$3:$A$500,0))</f>
      </c>
      <c r="D12" s="11">
        <f>IF(INDEX(precios!$E$3:$E$500,MATCH($B12,precios!$A$3:$A$500,0))&gt;0,INDEX(precios!$E$3:$E$500,MATCH($B12,precios!$A$3:$A$500,0))/$B$4,"")</f>
      </c>
      <c r="E12" s="11">
        <f>IF(INDEX(precios!$F$3:$F$500,MATCH($B12,precios!$A$3:$A$500,0))&gt;0,INDEX(precios!$F$3:$F$500,MATCH($B12,precios!$A$3:$A$500,0))/$B$4,"")</f>
      </c>
      <c r="F12" s="11">
        <f>IF(INDEX(precios!$G$3:$G$500,MATCH($B12,precios!$A$3:$A$500,0))&gt;0,INDEX(precios!$G$3:$G$500,MATCH($B12,precios!$A$3:$A$500,0))/$B$4,"")</f>
      </c>
      <c r="G12" s="11">
        <f>IF(INDEX(precios!$H$3:$H$500,MATCH($B12,precios!$A$3:$A$500,0))&gt;0,INDEX(precios!$H$3:$H$500,MATCH($B12,precios!$A$3:$A$500,0))/$B$4,"")</f>
      </c>
      <c r="H12" s="11">
        <f>IF(INDEX(precios!$I$3:$I$500,MATCH($B12,precios!$A$3:$A$500,0))&gt;0,INDEX(precios!$I$3:$I$500,MATCH($B12,precios!$A$3:$A$500,0))/$B$4,"")</f>
      </c>
      <c r="I12" s="11">
        <f>IF(INDEX(precios!$J$3:$J$500,MATCH($B12,precios!$A$3:$A$500,0))&gt;0,INDEX(precios!$J$3:$J$500,MATCH($B12,precios!$A$3:$A$500,0))/$B$4,"")</f>
      </c>
      <c r="J12" s="11">
        <f>IF(INDEX(precios!$K$3:$K$500,MATCH($B12,precios!$A$3:$A$500,0))&gt;0,INDEX(precios!$K$3:$K$500,MATCH($B12,precios!$A$3:$A$500,0))/$B$4,"")</f>
      </c>
      <c r="K12" s="11">
        <f>IF(INDEX(precios!$L$3:$L$500,MATCH($B12,precios!$A$3:$A$500,0))&gt;0,INDEX(precios!$L$3:$L$500,MATCH($B12,precios!$A$3:$A$500,0))/$B$4,"")</f>
      </c>
      <c r="L12" s="11">
        <f>IF(INDEX(precios!$M$3:$M$500,MATCH($B12,precios!$A$3:$A$500,0))&gt;0,INDEX(precios!$M$3:$M$500,MATCH($B12,precios!$A$3:$A$500,0))/$B$4,"")</f>
      </c>
      <c r="M12" s="11">
        <f>IF(INDEX(precios!$N$3:$N$500,MATCH($B12,precios!$A$3:$A$500,0))&gt;0,INDEX(precios!$N$3:$N$500,MATCH($B12,precios!$A$3:$A$500,0))/$B$4,"")</f>
      </c>
      <c r="N12" s="11">
        <f>SUM(D12:M12)</f>
      </c>
    </row>
    <row r="13" spans="1:14" x14ac:dyDescent="0.25">
      <c r="A13" t="s">
        <v>248</v>
      </c>
      <c r="B13" t="s">
        <v>252</v>
      </c>
      <c r="C13">
        <f>INDEX(precios!$C$3:$C$500,MATCH($B13,precios!$A$3:$A$500,0))</f>
      </c>
      <c r="D13" s="11">
        <f>IF(INDEX(precios!$E$3:$E$500,MATCH($B13,precios!$A$3:$A$500,0))&gt;0,INDEX(precios!$E$3:$E$500,MATCH($B13,precios!$A$3:$A$500,0))/$B$4,"")</f>
      </c>
      <c r="E13" s="11">
        <f>IF(INDEX(precios!$F$3:$F$500,MATCH($B13,precios!$A$3:$A$500,0))&gt;0,INDEX(precios!$F$3:$F$500,MATCH($B13,precios!$A$3:$A$500,0))/$B$4,"")</f>
      </c>
      <c r="F13" s="11">
        <f>IF(INDEX(precios!$G$3:$G$500,MATCH($B13,precios!$A$3:$A$500,0))&gt;0,INDEX(precios!$G$3:$G$500,MATCH($B13,precios!$A$3:$A$500,0))/$B$4,"")</f>
      </c>
      <c r="G13" s="11">
        <f>IF(INDEX(precios!$H$3:$H$500,MATCH($B13,precios!$A$3:$A$500,0))&gt;0,INDEX(precios!$H$3:$H$500,MATCH($B13,precios!$A$3:$A$500,0))/$B$4,"")</f>
      </c>
      <c r="H13" s="11">
        <f>IF(INDEX(precios!$I$3:$I$500,MATCH($B13,precios!$A$3:$A$500,0))&gt;0,INDEX(precios!$I$3:$I$500,MATCH($B13,precios!$A$3:$A$500,0))/$B$4,"")</f>
      </c>
      <c r="I13" s="11">
        <f>IF(INDEX(precios!$J$3:$J$500,MATCH($B13,precios!$A$3:$A$500,0))&gt;0,INDEX(precios!$J$3:$J$500,MATCH($B13,precios!$A$3:$A$500,0))/$B$4,"")</f>
      </c>
      <c r="J13" s="11">
        <f>IF(INDEX(precios!$K$3:$K$500,MATCH($B13,precios!$A$3:$A$500,0))&gt;0,INDEX(precios!$K$3:$K$500,MATCH($B13,precios!$A$3:$A$500,0))/$B$4,"")</f>
      </c>
      <c r="K13" s="11">
        <f>IF(INDEX(precios!$L$3:$L$500,MATCH($B13,precios!$A$3:$A$500,0))&gt;0,INDEX(precios!$L$3:$L$500,MATCH($B13,precios!$A$3:$A$500,0))/$B$4,"")</f>
      </c>
      <c r="L13" s="11">
        <f>IF(INDEX(precios!$M$3:$M$500,MATCH($B13,precios!$A$3:$A$500,0))&gt;0,INDEX(precios!$M$3:$M$500,MATCH($B13,precios!$A$3:$A$500,0))/$B$4,"")</f>
      </c>
      <c r="M13" s="11">
        <f>IF(INDEX(precios!$N$3:$N$500,MATCH($B13,precios!$A$3:$A$500,0))&gt;0,INDEX(precios!$N$3:$N$500,MATCH($B13,precios!$A$3:$A$500,0))/$B$4,"")</f>
      </c>
      <c r="N13" s="11">
        <f>SUM(D13:M13)</f>
      </c>
    </row>
    <row r="14" spans="1:14" x14ac:dyDescent="0.25">
      <c r="A14" t="s">
        <v>248</v>
      </c>
      <c r="B14" t="s">
        <v>254</v>
      </c>
      <c r="C14">
        <f>INDEX(precios!$C$3:$C$500,MATCH($B14,precios!$A$3:$A$500,0))</f>
      </c>
      <c r="D14" s="11">
        <f>IF(INDEX(precios!$E$3:$E$500,MATCH($B14,precios!$A$3:$A$500,0))&gt;0,INDEX(precios!$E$3:$E$500,MATCH($B14,precios!$A$3:$A$500,0))/$B$4,"")</f>
      </c>
      <c r="E14" s="11">
        <f>IF(INDEX(precios!$F$3:$F$500,MATCH($B14,precios!$A$3:$A$500,0))&gt;0,INDEX(precios!$F$3:$F$500,MATCH($B14,precios!$A$3:$A$500,0))/$B$4,"")</f>
      </c>
      <c r="F14" s="11">
        <f>IF(INDEX(precios!$G$3:$G$500,MATCH($B14,precios!$A$3:$A$500,0))&gt;0,INDEX(precios!$G$3:$G$500,MATCH($B14,precios!$A$3:$A$500,0))/$B$4,"")</f>
      </c>
      <c r="G14" s="11">
        <f>IF(INDEX(precios!$H$3:$H$500,MATCH($B14,precios!$A$3:$A$500,0))&gt;0,INDEX(precios!$H$3:$H$500,MATCH($B14,precios!$A$3:$A$500,0))/$B$4,"")</f>
      </c>
      <c r="H14" s="11">
        <f>IF(INDEX(precios!$I$3:$I$500,MATCH($B14,precios!$A$3:$A$500,0))&gt;0,INDEX(precios!$I$3:$I$500,MATCH($B14,precios!$A$3:$A$500,0))/$B$4,"")</f>
      </c>
      <c r="I14" s="11">
        <f>IF(INDEX(precios!$J$3:$J$500,MATCH($B14,precios!$A$3:$A$500,0))&gt;0,INDEX(precios!$J$3:$J$500,MATCH($B14,precios!$A$3:$A$500,0))/$B$4,"")</f>
      </c>
      <c r="J14" s="11">
        <f>IF(INDEX(precios!$K$3:$K$500,MATCH($B14,precios!$A$3:$A$500,0))&gt;0,INDEX(precios!$K$3:$K$500,MATCH($B14,precios!$A$3:$A$500,0))/$B$4,"")</f>
      </c>
      <c r="K14" s="11">
        <f>IF(INDEX(precios!$L$3:$L$500,MATCH($B14,precios!$A$3:$A$500,0))&gt;0,INDEX(precios!$L$3:$L$500,MATCH($B14,precios!$A$3:$A$500,0))/$B$4,"")</f>
      </c>
      <c r="L14" s="11">
        <f>IF(INDEX(precios!$M$3:$M$500,MATCH($B14,precios!$A$3:$A$500,0))&gt;0,INDEX(precios!$M$3:$M$500,MATCH($B14,precios!$A$3:$A$500,0))/$B$4,"")</f>
      </c>
      <c r="M14" s="11">
        <f>IF(INDEX(precios!$N$3:$N$500,MATCH($B14,precios!$A$3:$A$500,0))&gt;0,INDEX(precios!$N$3:$N$500,MATCH($B14,precios!$A$3:$A$500,0))/$B$4,"")</f>
      </c>
      <c r="N14" s="11">
        <f>SUM(D14:M14)</f>
      </c>
    </row>
    <row r="15" spans="1:14" x14ac:dyDescent="0.25">
      <c r="A15" t="s">
        <v>248</v>
      </c>
      <c r="B15" t="s">
        <v>256</v>
      </c>
      <c r="C15">
        <f>INDEX(precios!$C$3:$C$500,MATCH($B15,precios!$A$3:$A$500,0))</f>
      </c>
      <c r="D15" s="11">
        <f>IF(INDEX(precios!$E$3:$E$500,MATCH($B15,precios!$A$3:$A$500,0))&gt;0,INDEX(precios!$E$3:$E$500,MATCH($B15,precios!$A$3:$A$500,0))/$B$4,"")</f>
      </c>
      <c r="E15" s="11">
        <f>IF(INDEX(precios!$F$3:$F$500,MATCH($B15,precios!$A$3:$A$500,0))&gt;0,INDEX(precios!$F$3:$F$500,MATCH($B15,precios!$A$3:$A$500,0))/$B$4,"")</f>
      </c>
      <c r="F15" s="11">
        <f>IF(INDEX(precios!$G$3:$G$500,MATCH($B15,precios!$A$3:$A$500,0))&gt;0,INDEX(precios!$G$3:$G$500,MATCH($B15,precios!$A$3:$A$500,0))/$B$4,"")</f>
      </c>
      <c r="G15" s="11">
        <f>IF(INDEX(precios!$H$3:$H$500,MATCH($B15,precios!$A$3:$A$500,0))&gt;0,INDEX(precios!$H$3:$H$500,MATCH($B15,precios!$A$3:$A$500,0))/$B$4,"")</f>
      </c>
      <c r="H15" s="11">
        <f>IF(INDEX(precios!$I$3:$I$500,MATCH($B15,precios!$A$3:$A$500,0))&gt;0,INDEX(precios!$I$3:$I$500,MATCH($B15,precios!$A$3:$A$500,0))/$B$4,"")</f>
      </c>
      <c r="I15" s="11">
        <f>IF(INDEX(precios!$J$3:$J$500,MATCH($B15,precios!$A$3:$A$500,0))&gt;0,INDEX(precios!$J$3:$J$500,MATCH($B15,precios!$A$3:$A$500,0))/$B$4,"")</f>
      </c>
      <c r="J15" s="11">
        <f>IF(INDEX(precios!$K$3:$K$500,MATCH($B15,precios!$A$3:$A$500,0))&gt;0,INDEX(precios!$K$3:$K$500,MATCH($B15,precios!$A$3:$A$500,0))/$B$4,"")</f>
      </c>
      <c r="K15" s="11">
        <f>IF(INDEX(precios!$L$3:$L$500,MATCH($B15,precios!$A$3:$A$500,0))&gt;0,INDEX(precios!$L$3:$L$500,MATCH($B15,precios!$A$3:$A$500,0))/$B$4,"")</f>
      </c>
      <c r="L15" s="11">
        <f>IF(INDEX(precios!$M$3:$M$500,MATCH($B15,precios!$A$3:$A$500,0))&gt;0,INDEX(precios!$M$3:$M$500,MATCH($B15,precios!$A$3:$A$500,0))/$B$4,"")</f>
      </c>
      <c r="M15" s="11">
        <f>IF(INDEX(precios!$N$3:$N$500,MATCH($B15,precios!$A$3:$A$500,0))&gt;0,INDEX(precios!$N$3:$N$500,MATCH($B15,precios!$A$3:$A$500,0))/$B$4,"")</f>
      </c>
      <c r="N15" s="11">
        <f>SUM(D15:M15)</f>
      </c>
    </row>
    <row r="16" spans="1:14" x14ac:dyDescent="0.25">
      <c r="A16" t="s">
        <v>248</v>
      </c>
      <c r="B16" t="s">
        <v>258</v>
      </c>
      <c r="C16">
        <f>INDEX(precios!$C$3:$C$500,MATCH($B16,precios!$A$3:$A$500,0))</f>
      </c>
      <c r="D16" s="11">
        <f>IF(INDEX(precios!$E$3:$E$500,MATCH($B16,precios!$A$3:$A$500,0))&gt;0,INDEX(precios!$E$3:$E$500,MATCH($B16,precios!$A$3:$A$500,0))/$B$4,"")</f>
      </c>
      <c r="E16" s="11">
        <f>IF(INDEX(precios!$F$3:$F$500,MATCH($B16,precios!$A$3:$A$500,0))&gt;0,INDEX(precios!$F$3:$F$500,MATCH($B16,precios!$A$3:$A$500,0))/$B$4,"")</f>
      </c>
      <c r="F16" s="11">
        <f>IF(INDEX(precios!$G$3:$G$500,MATCH($B16,precios!$A$3:$A$500,0))&gt;0,INDEX(precios!$G$3:$G$500,MATCH($B16,precios!$A$3:$A$500,0))/$B$4,"")</f>
      </c>
      <c r="G16" s="11">
        <f>IF(INDEX(precios!$H$3:$H$500,MATCH($B16,precios!$A$3:$A$500,0))&gt;0,INDEX(precios!$H$3:$H$500,MATCH($B16,precios!$A$3:$A$500,0))/$B$4,"")</f>
      </c>
      <c r="H16" s="11">
        <f>IF(INDEX(precios!$I$3:$I$500,MATCH($B16,precios!$A$3:$A$500,0))&gt;0,INDEX(precios!$I$3:$I$500,MATCH($B16,precios!$A$3:$A$500,0))/$B$4,"")</f>
      </c>
      <c r="I16" s="11">
        <f>IF(INDEX(precios!$J$3:$J$500,MATCH($B16,precios!$A$3:$A$500,0))&gt;0,INDEX(precios!$J$3:$J$500,MATCH($B16,precios!$A$3:$A$500,0))/$B$4,"")</f>
      </c>
      <c r="J16" s="11">
        <f>IF(INDEX(precios!$K$3:$K$500,MATCH($B16,precios!$A$3:$A$500,0))&gt;0,INDEX(precios!$K$3:$K$500,MATCH($B16,precios!$A$3:$A$500,0))/$B$4,"")</f>
      </c>
      <c r="K16" s="11">
        <f>IF(INDEX(precios!$L$3:$L$500,MATCH($B16,precios!$A$3:$A$500,0))&gt;0,INDEX(precios!$L$3:$L$500,MATCH($B16,precios!$A$3:$A$500,0))/$B$4,"")</f>
      </c>
      <c r="L16" s="11">
        <f>IF(INDEX(precios!$M$3:$M$500,MATCH($B16,precios!$A$3:$A$500,0))&gt;0,INDEX(precios!$M$3:$M$500,MATCH($B16,precios!$A$3:$A$500,0))/$B$4,"")</f>
      </c>
      <c r="M16" s="11">
        <f>IF(INDEX(precios!$N$3:$N$500,MATCH($B16,precios!$A$3:$A$500,0))&gt;0,INDEX(precios!$N$3:$N$500,MATCH($B16,precios!$A$3:$A$500,0))/$B$4,"")</f>
      </c>
      <c r="N16" s="11">
        <f>SUM(D16:M16)</f>
      </c>
    </row>
    <row r="17" spans="1:14" x14ac:dyDescent="0.25">
      <c r="A17" t="s">
        <v>248</v>
      </c>
      <c r="B17" t="s">
        <v>260</v>
      </c>
      <c r="C17">
        <f>INDEX(precios!$C$3:$C$500,MATCH($B17,precios!$A$3:$A$500,0))</f>
      </c>
      <c r="D17" s="11">
        <f>IF(INDEX(precios!$E$3:$E$500,MATCH($B17,precios!$A$3:$A$500,0))&gt;0,INDEX(precios!$E$3:$E$500,MATCH($B17,precios!$A$3:$A$500,0))/$B$4,"")</f>
      </c>
      <c r="E17" s="11">
        <f>IF(INDEX(precios!$F$3:$F$500,MATCH($B17,precios!$A$3:$A$500,0))&gt;0,INDEX(precios!$F$3:$F$500,MATCH($B17,precios!$A$3:$A$500,0))/$B$4,"")</f>
      </c>
      <c r="F17" s="11">
        <f>IF(INDEX(precios!$G$3:$G$500,MATCH($B17,precios!$A$3:$A$500,0))&gt;0,INDEX(precios!$G$3:$G$500,MATCH($B17,precios!$A$3:$A$500,0))/$B$4,"")</f>
      </c>
      <c r="G17" s="11">
        <f>IF(INDEX(precios!$H$3:$H$500,MATCH($B17,precios!$A$3:$A$500,0))&gt;0,INDEX(precios!$H$3:$H$500,MATCH($B17,precios!$A$3:$A$500,0))/$B$4,"")</f>
      </c>
      <c r="H17" s="11">
        <f>IF(INDEX(precios!$I$3:$I$500,MATCH($B17,precios!$A$3:$A$500,0))&gt;0,INDEX(precios!$I$3:$I$500,MATCH($B17,precios!$A$3:$A$500,0))/$B$4,"")</f>
      </c>
      <c r="I17" s="11">
        <f>IF(INDEX(precios!$J$3:$J$500,MATCH($B17,precios!$A$3:$A$500,0))&gt;0,INDEX(precios!$J$3:$J$500,MATCH($B17,precios!$A$3:$A$500,0))/$B$4,"")</f>
      </c>
      <c r="J17" s="11">
        <f>IF(INDEX(precios!$K$3:$K$500,MATCH($B17,precios!$A$3:$A$500,0))&gt;0,INDEX(precios!$K$3:$K$500,MATCH($B17,precios!$A$3:$A$500,0))/$B$4,"")</f>
      </c>
      <c r="K17" s="11">
        <f>IF(INDEX(precios!$L$3:$L$500,MATCH($B17,precios!$A$3:$A$500,0))&gt;0,INDEX(precios!$L$3:$L$500,MATCH($B17,precios!$A$3:$A$500,0))/$B$4,"")</f>
      </c>
      <c r="L17" s="11">
        <f>IF(INDEX(precios!$M$3:$M$500,MATCH($B17,precios!$A$3:$A$500,0))&gt;0,INDEX(precios!$M$3:$M$500,MATCH($B17,precios!$A$3:$A$500,0))/$B$4,"")</f>
      </c>
      <c r="M17" s="11">
        <f>IF(INDEX(precios!$N$3:$N$500,MATCH($B17,precios!$A$3:$A$500,0))&gt;0,INDEX(precios!$N$3:$N$500,MATCH($B17,precios!$A$3:$A$500,0))/$B$4,"")</f>
      </c>
      <c r="N17" s="11">
        <f>SUM(D17:M17)</f>
      </c>
    </row>
    <row r="18" spans="1:14" x14ac:dyDescent="0.25">
      <c r="A18" t="s">
        <v>248</v>
      </c>
      <c r="B18" t="s">
        <v>262</v>
      </c>
      <c r="C18">
        <f>INDEX(precios!$C$3:$C$500,MATCH($B18,precios!$A$3:$A$500,0))</f>
      </c>
      <c r="D18" s="11">
        <f>IF(INDEX(precios!$E$3:$E$500,MATCH($B18,precios!$A$3:$A$500,0))&gt;0,INDEX(precios!$E$3:$E$500,MATCH($B18,precios!$A$3:$A$500,0))/$B$4,"")</f>
      </c>
      <c r="E18" s="11">
        <f>IF(INDEX(precios!$F$3:$F$500,MATCH($B18,precios!$A$3:$A$500,0))&gt;0,INDEX(precios!$F$3:$F$500,MATCH($B18,precios!$A$3:$A$500,0))/$B$4,"")</f>
      </c>
      <c r="F18" s="11">
        <f>IF(INDEX(precios!$G$3:$G$500,MATCH($B18,precios!$A$3:$A$500,0))&gt;0,INDEX(precios!$G$3:$G$500,MATCH($B18,precios!$A$3:$A$500,0))/$B$4,"")</f>
      </c>
      <c r="G18" s="11">
        <f>IF(INDEX(precios!$H$3:$H$500,MATCH($B18,precios!$A$3:$A$500,0))&gt;0,INDEX(precios!$H$3:$H$500,MATCH($B18,precios!$A$3:$A$500,0))/$B$4,"")</f>
      </c>
      <c r="H18" s="11">
        <f>IF(INDEX(precios!$I$3:$I$500,MATCH($B18,precios!$A$3:$A$500,0))&gt;0,INDEX(precios!$I$3:$I$500,MATCH($B18,precios!$A$3:$A$500,0))/$B$4,"")</f>
      </c>
      <c r="I18" s="11">
        <f>IF(INDEX(precios!$J$3:$J$500,MATCH($B18,precios!$A$3:$A$500,0))&gt;0,INDEX(precios!$J$3:$J$500,MATCH($B18,precios!$A$3:$A$500,0))/$B$4,"")</f>
      </c>
      <c r="J18" s="11">
        <f>IF(INDEX(precios!$K$3:$K$500,MATCH($B18,precios!$A$3:$A$500,0))&gt;0,INDEX(precios!$K$3:$K$500,MATCH($B18,precios!$A$3:$A$500,0))/$B$4,"")</f>
      </c>
      <c r="K18" s="11">
        <f>IF(INDEX(precios!$L$3:$L$500,MATCH($B18,precios!$A$3:$A$500,0))&gt;0,INDEX(precios!$L$3:$L$500,MATCH($B18,precios!$A$3:$A$500,0))/$B$4,"")</f>
      </c>
      <c r="L18" s="11">
        <f>IF(INDEX(precios!$M$3:$M$500,MATCH($B18,precios!$A$3:$A$500,0))&gt;0,INDEX(precios!$M$3:$M$500,MATCH($B18,precios!$A$3:$A$500,0))/$B$4,"")</f>
      </c>
      <c r="M18" s="11">
        <f>IF(INDEX(precios!$N$3:$N$500,MATCH($B18,precios!$A$3:$A$500,0))&gt;0,INDEX(precios!$N$3:$N$500,MATCH($B18,precios!$A$3:$A$500,0))/$B$4,"")</f>
      </c>
      <c r="N18" s="11">
        <f>SUM(D18:M18)</f>
      </c>
    </row>
    <row r="19" spans="1:14" x14ac:dyDescent="0.25">
      <c r="A19" t="s">
        <v>248</v>
      </c>
      <c r="B19" t="s">
        <v>264</v>
      </c>
      <c r="C19">
        <f>INDEX(precios!$C$3:$C$500,MATCH($B19,precios!$A$3:$A$500,0))</f>
      </c>
      <c r="D19" s="11">
        <f>IF(INDEX(precios!$E$3:$E$500,MATCH($B19,precios!$A$3:$A$500,0))&gt;0,INDEX(precios!$E$3:$E$500,MATCH($B19,precios!$A$3:$A$500,0))/$B$4,"")</f>
      </c>
      <c r="E19" s="11">
        <f>IF(INDEX(precios!$F$3:$F$500,MATCH($B19,precios!$A$3:$A$500,0))&gt;0,INDEX(precios!$F$3:$F$500,MATCH($B19,precios!$A$3:$A$500,0))/$B$4,"")</f>
      </c>
      <c r="F19" s="11">
        <f>IF(INDEX(precios!$G$3:$G$500,MATCH($B19,precios!$A$3:$A$500,0))&gt;0,INDEX(precios!$G$3:$G$500,MATCH($B19,precios!$A$3:$A$500,0))/$B$4,"")</f>
      </c>
      <c r="G19" s="11">
        <f>IF(INDEX(precios!$H$3:$H$500,MATCH($B19,precios!$A$3:$A$500,0))&gt;0,INDEX(precios!$H$3:$H$500,MATCH($B19,precios!$A$3:$A$500,0))/$B$4,"")</f>
      </c>
      <c r="H19" s="11">
        <f>IF(INDEX(precios!$I$3:$I$500,MATCH($B19,precios!$A$3:$A$500,0))&gt;0,INDEX(precios!$I$3:$I$500,MATCH($B19,precios!$A$3:$A$500,0))/$B$4,"")</f>
      </c>
      <c r="I19" s="11">
        <f>IF(INDEX(precios!$J$3:$J$500,MATCH($B19,precios!$A$3:$A$500,0))&gt;0,INDEX(precios!$J$3:$J$500,MATCH($B19,precios!$A$3:$A$500,0))/$B$4,"")</f>
      </c>
      <c r="J19" s="11">
        <f>IF(INDEX(precios!$K$3:$K$500,MATCH($B19,precios!$A$3:$A$500,0))&gt;0,INDEX(precios!$K$3:$K$500,MATCH($B19,precios!$A$3:$A$500,0))/$B$4,"")</f>
      </c>
      <c r="K19" s="11">
        <f>IF(INDEX(precios!$L$3:$L$500,MATCH($B19,precios!$A$3:$A$500,0))&gt;0,INDEX(precios!$L$3:$L$500,MATCH($B19,precios!$A$3:$A$500,0))/$B$4,"")</f>
      </c>
      <c r="L19" s="11">
        <f>IF(INDEX(precios!$M$3:$M$500,MATCH($B19,precios!$A$3:$A$500,0))&gt;0,INDEX(precios!$M$3:$M$500,MATCH($B19,precios!$A$3:$A$500,0))/$B$4,"")</f>
      </c>
      <c r="M19" s="11">
        <f>IF(INDEX(precios!$N$3:$N$500,MATCH($B19,precios!$A$3:$A$500,0))&gt;0,INDEX(precios!$N$3:$N$500,MATCH($B19,precios!$A$3:$A$500,0))/$B$4,"")</f>
      </c>
      <c r="N19" s="11">
        <f>SUM(D19:M19)</f>
      </c>
    </row>
    <row r="20" spans="1:14" x14ac:dyDescent="0.25">
      <c r="A20" t="s">
        <v>248</v>
      </c>
      <c r="B20" t="s">
        <v>13</v>
      </c>
      <c r="C20">
        <f>INDEX(precios!$C$3:$C$500,MATCH($B20,precios!$A$3:$A$500,0))</f>
      </c>
      <c r="D20" s="11">
        <f>IF(INDEX(precios!$E$3:$E$500,MATCH($B20,precios!$A$3:$A$500,0))&gt;0,INDEX(precios!$E$3:$E$500,MATCH($B20,precios!$A$3:$A$500,0))/$B$4,"")</f>
      </c>
      <c r="E20" s="11">
        <f>IF(INDEX(precios!$F$3:$F$500,MATCH($B20,precios!$A$3:$A$500,0))&gt;0,INDEX(precios!$F$3:$F$500,MATCH($B20,precios!$A$3:$A$500,0))/$B$4,"")</f>
      </c>
      <c r="F20" s="11">
        <f>IF(INDEX(precios!$G$3:$G$500,MATCH($B20,precios!$A$3:$A$500,0))&gt;0,INDEX(precios!$G$3:$G$500,MATCH($B20,precios!$A$3:$A$500,0))/$B$4,"")</f>
      </c>
      <c r="G20" s="11">
        <f>IF(INDEX(precios!$H$3:$H$500,MATCH($B20,precios!$A$3:$A$500,0))&gt;0,INDEX(precios!$H$3:$H$500,MATCH($B20,precios!$A$3:$A$500,0))/$B$4,"")</f>
      </c>
      <c r="H20" s="11">
        <f>IF(INDEX(precios!$I$3:$I$500,MATCH($B20,precios!$A$3:$A$500,0))&gt;0,INDEX(precios!$I$3:$I$500,MATCH($B20,precios!$A$3:$A$500,0))/$B$4,"")</f>
      </c>
      <c r="I20" s="11">
        <f>IF(INDEX(precios!$J$3:$J$500,MATCH($B20,precios!$A$3:$A$500,0))&gt;0,INDEX(precios!$J$3:$J$500,MATCH($B20,precios!$A$3:$A$500,0))/$B$4,"")</f>
      </c>
      <c r="J20" s="11">
        <f>IF(INDEX(precios!$K$3:$K$500,MATCH($B20,precios!$A$3:$A$500,0))&gt;0,INDEX(precios!$K$3:$K$500,MATCH($B20,precios!$A$3:$A$500,0))/$B$4,"")</f>
      </c>
      <c r="K20" s="11">
        <f>IF(INDEX(precios!$L$3:$L$500,MATCH($B20,precios!$A$3:$A$500,0))&gt;0,INDEX(precios!$L$3:$L$500,MATCH($B20,precios!$A$3:$A$500,0))/$B$4,"")</f>
      </c>
      <c r="L20" s="11">
        <f>IF(INDEX(precios!$M$3:$M$500,MATCH($B20,precios!$A$3:$A$500,0))&gt;0,INDEX(precios!$M$3:$M$500,MATCH($B20,precios!$A$3:$A$500,0))/$B$4,"")</f>
      </c>
      <c r="M20" s="11">
        <f>IF(INDEX(precios!$N$3:$N$500,MATCH($B20,precios!$A$3:$A$500,0))&gt;0,INDEX(precios!$N$3:$N$500,MATCH($B20,precios!$A$3:$A$500,0))/$B$4,"")</f>
      </c>
      <c r="N20" s="11">
        <f>SUM(D20:M20)</f>
      </c>
    </row>
    <row r="21" spans="1:14" x14ac:dyDescent="0.25">
      <c r="A21" t="s">
        <v>248</v>
      </c>
      <c r="B21" t="s">
        <v>267</v>
      </c>
      <c r="C21">
        <f>INDEX(precios!$C$3:$C$500,MATCH($B21,precios!$A$3:$A$500,0))</f>
      </c>
      <c r="D21" s="11">
        <f>IF(INDEX(precios!$E$3:$E$500,MATCH($B21,precios!$A$3:$A$500,0))&gt;0,INDEX(precios!$E$3:$E$500,MATCH($B21,precios!$A$3:$A$500,0))/$B$4,"")</f>
      </c>
      <c r="E21" s="11">
        <f>IF(INDEX(precios!$F$3:$F$500,MATCH($B21,precios!$A$3:$A$500,0))&gt;0,INDEX(precios!$F$3:$F$500,MATCH($B21,precios!$A$3:$A$500,0))/$B$4,"")</f>
      </c>
      <c r="F21" s="11">
        <f>IF(INDEX(precios!$G$3:$G$500,MATCH($B21,precios!$A$3:$A$500,0))&gt;0,INDEX(precios!$G$3:$G$500,MATCH($B21,precios!$A$3:$A$500,0))/$B$4,"")</f>
      </c>
      <c r="G21" s="11">
        <f>IF(INDEX(precios!$H$3:$H$500,MATCH($B21,precios!$A$3:$A$500,0))&gt;0,INDEX(precios!$H$3:$H$500,MATCH($B21,precios!$A$3:$A$500,0))/$B$4,"")</f>
      </c>
      <c r="H21" s="11">
        <f>IF(INDEX(precios!$I$3:$I$500,MATCH($B21,precios!$A$3:$A$500,0))&gt;0,INDEX(precios!$I$3:$I$500,MATCH($B21,precios!$A$3:$A$500,0))/$B$4,"")</f>
      </c>
      <c r="I21" s="11">
        <f>IF(INDEX(precios!$J$3:$J$500,MATCH($B21,precios!$A$3:$A$500,0))&gt;0,INDEX(precios!$J$3:$J$500,MATCH($B21,precios!$A$3:$A$500,0))/$B$4,"")</f>
      </c>
      <c r="J21" s="11">
        <f>IF(INDEX(precios!$K$3:$K$500,MATCH($B21,precios!$A$3:$A$500,0))&gt;0,INDEX(precios!$K$3:$K$500,MATCH($B21,precios!$A$3:$A$500,0))/$B$4,"")</f>
      </c>
      <c r="K21" s="11">
        <f>IF(INDEX(precios!$L$3:$L$500,MATCH($B21,precios!$A$3:$A$500,0))&gt;0,INDEX(precios!$L$3:$L$500,MATCH($B21,precios!$A$3:$A$500,0))/$B$4,"")</f>
      </c>
      <c r="L21" s="11">
        <f>IF(INDEX(precios!$M$3:$M$500,MATCH($B21,precios!$A$3:$A$500,0))&gt;0,INDEX(precios!$M$3:$M$500,MATCH($B21,precios!$A$3:$A$500,0))/$B$4,"")</f>
      </c>
      <c r="M21" s="11">
        <f>IF(INDEX(precios!$N$3:$N$500,MATCH($B21,precios!$A$3:$A$500,0))&gt;0,INDEX(precios!$N$3:$N$500,MATCH($B21,precios!$A$3:$A$500,0))/$B$4,"")</f>
      </c>
      <c r="N21" s="11">
        <f>SUM(D21:M21)</f>
      </c>
    </row>
    <row r="22" spans="1:14" x14ac:dyDescent="0.25">
      <c r="A22" t="s">
        <v>248</v>
      </c>
      <c r="B22" t="s">
        <v>269</v>
      </c>
      <c r="C22">
        <f>INDEX(precios!$C$3:$C$500,MATCH($B22,precios!$A$3:$A$500,0))</f>
      </c>
      <c r="D22" s="11">
        <f>IF(INDEX(precios!$E$3:$E$500,MATCH($B22,precios!$A$3:$A$500,0))&gt;0,INDEX(precios!$E$3:$E$500,MATCH($B22,precios!$A$3:$A$500,0))/$B$4,"")</f>
      </c>
      <c r="E22" s="11">
        <f>IF(INDEX(precios!$F$3:$F$500,MATCH($B22,precios!$A$3:$A$500,0))&gt;0,INDEX(precios!$F$3:$F$500,MATCH($B22,precios!$A$3:$A$500,0))/$B$4,"")</f>
      </c>
      <c r="F22" s="11">
        <f>IF(INDEX(precios!$G$3:$G$500,MATCH($B22,precios!$A$3:$A$500,0))&gt;0,INDEX(precios!$G$3:$G$500,MATCH($B22,precios!$A$3:$A$500,0))/$B$4,"")</f>
      </c>
      <c r="G22" s="11">
        <f>IF(INDEX(precios!$H$3:$H$500,MATCH($B22,precios!$A$3:$A$500,0))&gt;0,INDEX(precios!$H$3:$H$500,MATCH($B22,precios!$A$3:$A$500,0))/$B$4,"")</f>
      </c>
      <c r="H22" s="11">
        <f>IF(INDEX(precios!$I$3:$I$500,MATCH($B22,precios!$A$3:$A$500,0))&gt;0,INDEX(precios!$I$3:$I$500,MATCH($B22,precios!$A$3:$A$500,0))/$B$4,"")</f>
      </c>
      <c r="I22" s="11">
        <f>IF(INDEX(precios!$J$3:$J$500,MATCH($B22,precios!$A$3:$A$500,0))&gt;0,INDEX(precios!$J$3:$J$500,MATCH($B22,precios!$A$3:$A$500,0))/$B$4,"")</f>
      </c>
      <c r="J22" s="11">
        <f>IF(INDEX(precios!$K$3:$K$500,MATCH($B22,precios!$A$3:$A$500,0))&gt;0,INDEX(precios!$K$3:$K$500,MATCH($B22,precios!$A$3:$A$500,0))/$B$4,"")</f>
      </c>
      <c r="K22" s="11">
        <f>IF(INDEX(precios!$L$3:$L$500,MATCH($B22,precios!$A$3:$A$500,0))&gt;0,INDEX(precios!$L$3:$L$500,MATCH($B22,precios!$A$3:$A$500,0))/$B$4,"")</f>
      </c>
      <c r="L22" s="11">
        <f>IF(INDEX(precios!$M$3:$M$500,MATCH($B22,precios!$A$3:$A$500,0))&gt;0,INDEX(precios!$M$3:$M$500,MATCH($B22,precios!$A$3:$A$500,0))/$B$4,"")</f>
      </c>
      <c r="M22" s="11">
        <f>IF(INDEX(precios!$N$3:$N$500,MATCH($B22,precios!$A$3:$A$500,0))&gt;0,INDEX(precios!$N$3:$N$500,MATCH($B22,precios!$A$3:$A$500,0))/$B$4,"")</f>
      </c>
      <c r="N22" s="11">
        <f>SUM(D22:M22)</f>
      </c>
    </row>
    <row r="23" spans="1:14" x14ac:dyDescent="0.25">
      <c r="A23" t="s">
        <v>248</v>
      </c>
      <c r="B23" t="s">
        <v>271</v>
      </c>
      <c r="C23">
        <f>INDEX(precios!$C$3:$C$500,MATCH($B23,precios!$A$3:$A$500,0))</f>
      </c>
      <c r="D23" s="11">
        <f>IF(INDEX(precios!$E$3:$E$500,MATCH($B23,precios!$A$3:$A$500,0))&gt;0,INDEX(precios!$E$3:$E$500,MATCH($B23,precios!$A$3:$A$500,0))/$B$4,"")</f>
      </c>
      <c r="E23" s="11">
        <f>IF(INDEX(precios!$F$3:$F$500,MATCH($B23,precios!$A$3:$A$500,0))&gt;0,INDEX(precios!$F$3:$F$500,MATCH($B23,precios!$A$3:$A$500,0))/$B$4,"")</f>
      </c>
      <c r="F23" s="11">
        <f>IF(INDEX(precios!$G$3:$G$500,MATCH($B23,precios!$A$3:$A$500,0))&gt;0,INDEX(precios!$G$3:$G$500,MATCH($B23,precios!$A$3:$A$500,0))/$B$4,"")</f>
      </c>
      <c r="G23" s="11">
        <f>IF(INDEX(precios!$H$3:$H$500,MATCH($B23,precios!$A$3:$A$500,0))&gt;0,INDEX(precios!$H$3:$H$500,MATCH($B23,precios!$A$3:$A$500,0))/$B$4,"")</f>
      </c>
      <c r="H23" s="11">
        <f>IF(INDEX(precios!$I$3:$I$500,MATCH($B23,precios!$A$3:$A$500,0))&gt;0,INDEX(precios!$I$3:$I$500,MATCH($B23,precios!$A$3:$A$500,0))/$B$4,"")</f>
      </c>
      <c r="I23" s="11">
        <f>IF(INDEX(precios!$J$3:$J$500,MATCH($B23,precios!$A$3:$A$500,0))&gt;0,INDEX(precios!$J$3:$J$500,MATCH($B23,precios!$A$3:$A$500,0))/$B$4,"")</f>
      </c>
      <c r="J23" s="11">
        <f>IF(INDEX(precios!$K$3:$K$500,MATCH($B23,precios!$A$3:$A$500,0))&gt;0,INDEX(precios!$K$3:$K$500,MATCH($B23,precios!$A$3:$A$500,0))/$B$4,"")</f>
      </c>
      <c r="K23" s="11">
        <f>IF(INDEX(precios!$L$3:$L$500,MATCH($B23,precios!$A$3:$A$500,0))&gt;0,INDEX(precios!$L$3:$L$500,MATCH($B23,precios!$A$3:$A$500,0))/$B$4,"")</f>
      </c>
      <c r="L23" s="11">
        <f>IF(INDEX(precios!$M$3:$M$500,MATCH($B23,precios!$A$3:$A$500,0))&gt;0,INDEX(precios!$M$3:$M$500,MATCH($B23,precios!$A$3:$A$500,0))/$B$4,"")</f>
      </c>
      <c r="M23" s="11">
        <f>IF(INDEX(precios!$N$3:$N$500,MATCH($B23,precios!$A$3:$A$500,0))&gt;0,INDEX(precios!$N$3:$N$500,MATCH($B23,precios!$A$3:$A$500,0))/$B$4,"")</f>
      </c>
      <c r="N23" s="11">
        <f>SUM(D23:M23)</f>
      </c>
    </row>
    <row r="24" spans="1:14" x14ac:dyDescent="0.25">
      <c r="A24" t="s">
        <v>248</v>
      </c>
      <c r="B24" t="s">
        <v>273</v>
      </c>
      <c r="C24">
        <f>INDEX(precios!$C$3:$C$500,MATCH($B24,precios!$A$3:$A$500,0))</f>
      </c>
      <c r="D24" s="11">
        <f>IF(INDEX(precios!$E$3:$E$500,MATCH($B24,precios!$A$3:$A$500,0))&gt;0,INDEX(precios!$E$3:$E$500,MATCH($B24,precios!$A$3:$A$500,0))/$B$4,"")</f>
      </c>
      <c r="E24" s="11">
        <f>IF(INDEX(precios!$F$3:$F$500,MATCH($B24,precios!$A$3:$A$500,0))&gt;0,INDEX(precios!$F$3:$F$500,MATCH($B24,precios!$A$3:$A$500,0))/$B$4,"")</f>
      </c>
      <c r="F24" s="11">
        <f>IF(INDEX(precios!$G$3:$G$500,MATCH($B24,precios!$A$3:$A$500,0))&gt;0,INDEX(precios!$G$3:$G$500,MATCH($B24,precios!$A$3:$A$500,0))/$B$4,"")</f>
      </c>
      <c r="G24" s="11">
        <f>IF(INDEX(precios!$H$3:$H$500,MATCH($B24,precios!$A$3:$A$500,0))&gt;0,INDEX(precios!$H$3:$H$500,MATCH($B24,precios!$A$3:$A$500,0))/$B$4,"")</f>
      </c>
      <c r="H24" s="11">
        <f>IF(INDEX(precios!$I$3:$I$500,MATCH($B24,precios!$A$3:$A$500,0))&gt;0,INDEX(precios!$I$3:$I$500,MATCH($B24,precios!$A$3:$A$500,0))/$B$4,"")</f>
      </c>
      <c r="I24" s="11">
        <f>IF(INDEX(precios!$J$3:$J$500,MATCH($B24,precios!$A$3:$A$500,0))&gt;0,INDEX(precios!$J$3:$J$500,MATCH($B24,precios!$A$3:$A$500,0))/$B$4,"")</f>
      </c>
      <c r="J24" s="11">
        <f>IF(INDEX(precios!$K$3:$K$500,MATCH($B24,precios!$A$3:$A$500,0))&gt;0,INDEX(precios!$K$3:$K$500,MATCH($B24,precios!$A$3:$A$500,0))/$B$4,"")</f>
      </c>
      <c r="K24" s="11">
        <f>IF(INDEX(precios!$L$3:$L$500,MATCH($B24,precios!$A$3:$A$500,0))&gt;0,INDEX(precios!$L$3:$L$500,MATCH($B24,precios!$A$3:$A$500,0))/$B$4,"")</f>
      </c>
      <c r="L24" s="11">
        <f>IF(INDEX(precios!$M$3:$M$500,MATCH($B24,precios!$A$3:$A$500,0))&gt;0,INDEX(precios!$M$3:$M$500,MATCH($B24,precios!$A$3:$A$500,0))/$B$4,"")</f>
      </c>
      <c r="M24" s="11">
        <f>IF(INDEX(precios!$N$3:$N$500,MATCH($B24,precios!$A$3:$A$500,0))&gt;0,INDEX(precios!$N$3:$N$500,MATCH($B24,precios!$A$3:$A$500,0))/$B$4,"")</f>
      </c>
      <c r="N24" s="11">
        <f>SUM(D24:M24)</f>
      </c>
    </row>
    <row r="25" spans="1:14" x14ac:dyDescent="0.25">
      <c r="A25" t="s">
        <v>276</v>
      </c>
      <c r="B25" t="s">
        <v>275</v>
      </c>
      <c r="C25">
        <f>INDEX(precios!$C$3:$C$500,MATCH($B25,precios!$A$3:$A$500,0))</f>
      </c>
      <c r="D25" s="11">
        <f>IF(INDEX(precios!$E$3:$E$500,MATCH($B25,precios!$A$3:$A$500,0))&gt;0,INDEX(precios!$E$3:$E$500,MATCH($B25,precios!$A$3:$A$500,0))/$B$4,"")</f>
      </c>
      <c r="E25" s="11">
        <f>IF(INDEX(precios!$F$3:$F$500,MATCH($B25,precios!$A$3:$A$500,0))&gt;0,INDEX(precios!$F$3:$F$500,MATCH($B25,precios!$A$3:$A$500,0))/$B$4,"")</f>
      </c>
      <c r="F25" s="11">
        <f>IF(INDEX(precios!$G$3:$G$500,MATCH($B25,precios!$A$3:$A$500,0))&gt;0,INDEX(precios!$G$3:$G$500,MATCH($B25,precios!$A$3:$A$500,0))/$B$4,"")</f>
      </c>
      <c r="G25" s="11">
        <f>IF(INDEX(precios!$H$3:$H$500,MATCH($B25,precios!$A$3:$A$500,0))&gt;0,INDEX(precios!$H$3:$H$500,MATCH($B25,precios!$A$3:$A$500,0))/$B$4,"")</f>
      </c>
      <c r="H25" s="11">
        <f>IF(INDEX(precios!$I$3:$I$500,MATCH($B25,precios!$A$3:$A$500,0))&gt;0,INDEX(precios!$I$3:$I$500,MATCH($B25,precios!$A$3:$A$500,0))/$B$4,"")</f>
      </c>
      <c r="I25" s="11">
        <f>IF(INDEX(precios!$J$3:$J$500,MATCH($B25,precios!$A$3:$A$500,0))&gt;0,INDEX(precios!$J$3:$J$500,MATCH($B25,precios!$A$3:$A$500,0))/$B$4,"")</f>
      </c>
      <c r="J25" s="11">
        <f>IF(INDEX(precios!$K$3:$K$500,MATCH($B25,precios!$A$3:$A$500,0))&gt;0,INDEX(precios!$K$3:$K$500,MATCH($B25,precios!$A$3:$A$500,0))/$B$4,"")</f>
      </c>
      <c r="K25" s="11">
        <f>IF(INDEX(precios!$L$3:$L$500,MATCH($B25,precios!$A$3:$A$500,0))&gt;0,INDEX(precios!$L$3:$L$500,MATCH($B25,precios!$A$3:$A$500,0))/$B$4,"")</f>
      </c>
      <c r="L25" s="11">
        <f>IF(INDEX(precios!$M$3:$M$500,MATCH($B25,precios!$A$3:$A$500,0))&gt;0,INDEX(precios!$M$3:$M$500,MATCH($B25,precios!$A$3:$A$500,0))/$B$4,"")</f>
      </c>
      <c r="M25" s="11">
        <f>IF(INDEX(precios!$N$3:$N$500,MATCH($B25,precios!$A$3:$A$500,0))&gt;0,INDEX(precios!$N$3:$N$500,MATCH($B25,precios!$A$3:$A$500,0))/$B$4,"")</f>
      </c>
      <c r="N25" s="11">
        <f>SUM(D25:M25)</f>
      </c>
    </row>
    <row r="26" spans="1:14" x14ac:dyDescent="0.25">
      <c r="A26" t="s">
        <v>276</v>
      </c>
      <c r="B26" t="s">
        <v>278</v>
      </c>
      <c r="C26">
        <f>INDEX(precios!$C$3:$C$500,MATCH($B26,precios!$A$3:$A$500,0))</f>
      </c>
      <c r="D26" s="11">
        <f>IF(INDEX(precios!$E$3:$E$500,MATCH($B26,precios!$A$3:$A$500,0))&gt;0,INDEX(precios!$E$3:$E$500,MATCH($B26,precios!$A$3:$A$500,0))/$B$4,"")</f>
      </c>
      <c r="E26" s="11">
        <f>IF(INDEX(precios!$F$3:$F$500,MATCH($B26,precios!$A$3:$A$500,0))&gt;0,INDEX(precios!$F$3:$F$500,MATCH($B26,precios!$A$3:$A$500,0))/$B$4,"")</f>
      </c>
      <c r="F26" s="11">
        <f>IF(INDEX(precios!$G$3:$G$500,MATCH($B26,precios!$A$3:$A$500,0))&gt;0,INDEX(precios!$G$3:$G$500,MATCH($B26,precios!$A$3:$A$500,0))/$B$4,"")</f>
      </c>
      <c r="G26" s="11">
        <f>IF(INDEX(precios!$H$3:$H$500,MATCH($B26,precios!$A$3:$A$500,0))&gt;0,INDEX(precios!$H$3:$H$500,MATCH($B26,precios!$A$3:$A$500,0))/$B$4,"")</f>
      </c>
      <c r="H26" s="11">
        <f>IF(INDEX(precios!$I$3:$I$500,MATCH($B26,precios!$A$3:$A$500,0))&gt;0,INDEX(precios!$I$3:$I$500,MATCH($B26,precios!$A$3:$A$500,0))/$B$4,"")</f>
      </c>
      <c r="I26" s="11">
        <f>IF(INDEX(precios!$J$3:$J$500,MATCH($B26,precios!$A$3:$A$500,0))&gt;0,INDEX(precios!$J$3:$J$500,MATCH($B26,precios!$A$3:$A$500,0))/$B$4,"")</f>
      </c>
      <c r="J26" s="11">
        <f>IF(INDEX(precios!$K$3:$K$500,MATCH($B26,precios!$A$3:$A$500,0))&gt;0,INDEX(precios!$K$3:$K$500,MATCH($B26,precios!$A$3:$A$500,0))/$B$4,"")</f>
      </c>
      <c r="K26" s="11">
        <f>IF(INDEX(precios!$L$3:$L$500,MATCH($B26,precios!$A$3:$A$500,0))&gt;0,INDEX(precios!$L$3:$L$500,MATCH($B26,precios!$A$3:$A$500,0))/$B$4,"")</f>
      </c>
      <c r="L26" s="11">
        <f>IF(INDEX(precios!$M$3:$M$500,MATCH($B26,precios!$A$3:$A$500,0))&gt;0,INDEX(precios!$M$3:$M$500,MATCH($B26,precios!$A$3:$A$500,0))/$B$4,"")</f>
      </c>
      <c r="M26" s="11">
        <f>IF(INDEX(precios!$N$3:$N$500,MATCH($B26,precios!$A$3:$A$500,0))&gt;0,INDEX(precios!$N$3:$N$500,MATCH($B26,precios!$A$3:$A$500,0))/$B$4,"")</f>
      </c>
      <c r="N26" s="11">
        <f>SUM(D26:M26)</f>
      </c>
    </row>
    <row r="27" spans="1:14" x14ac:dyDescent="0.25">
      <c r="A27" t="s">
        <v>281</v>
      </c>
      <c r="B27" t="s">
        <v>280</v>
      </c>
      <c r="C27">
        <f>INDEX(precios!$C$3:$C$500,MATCH($B27,precios!$A$3:$A$500,0))</f>
      </c>
      <c r="D27" s="11">
        <f>IF(INDEX(precios!$E$3:$E$500,MATCH($B27,precios!$A$3:$A$500,0))&gt;0,INDEX(precios!$E$3:$E$500,MATCH($B27,precios!$A$3:$A$500,0))/$B$4,"")</f>
      </c>
      <c r="E27" s="11">
        <f>IF(INDEX(precios!$F$3:$F$500,MATCH($B27,precios!$A$3:$A$500,0))&gt;0,INDEX(precios!$F$3:$F$500,MATCH($B27,precios!$A$3:$A$500,0))/$B$4,"")</f>
      </c>
      <c r="F27" s="11">
        <f>IF(INDEX(precios!$G$3:$G$500,MATCH($B27,precios!$A$3:$A$500,0))&gt;0,INDEX(precios!$G$3:$G$500,MATCH($B27,precios!$A$3:$A$500,0))/$B$4,"")</f>
      </c>
      <c r="G27" s="11">
        <f>IF(INDEX(precios!$H$3:$H$500,MATCH($B27,precios!$A$3:$A$500,0))&gt;0,INDEX(precios!$H$3:$H$500,MATCH($B27,precios!$A$3:$A$500,0))/$B$4,"")</f>
      </c>
      <c r="H27" s="11">
        <f>IF(INDEX(precios!$I$3:$I$500,MATCH($B27,precios!$A$3:$A$500,0))&gt;0,INDEX(precios!$I$3:$I$500,MATCH($B27,precios!$A$3:$A$500,0))/$B$4,"")</f>
      </c>
      <c r="I27" s="11">
        <f>IF(INDEX(precios!$J$3:$J$500,MATCH($B27,precios!$A$3:$A$500,0))&gt;0,INDEX(precios!$J$3:$J$500,MATCH($B27,precios!$A$3:$A$500,0))/$B$4,"")</f>
      </c>
      <c r="J27" s="11">
        <f>IF(INDEX(precios!$K$3:$K$500,MATCH($B27,precios!$A$3:$A$500,0))&gt;0,INDEX(precios!$K$3:$K$500,MATCH($B27,precios!$A$3:$A$500,0))/$B$4,"")</f>
      </c>
      <c r="K27" s="11">
        <f>IF(INDEX(precios!$L$3:$L$500,MATCH($B27,precios!$A$3:$A$500,0))&gt;0,INDEX(precios!$L$3:$L$500,MATCH($B27,precios!$A$3:$A$500,0))/$B$4,"")</f>
      </c>
      <c r="L27" s="11">
        <f>IF(INDEX(precios!$M$3:$M$500,MATCH($B27,precios!$A$3:$A$500,0))&gt;0,INDEX(precios!$M$3:$M$500,MATCH($B27,precios!$A$3:$A$500,0))/$B$4,"")</f>
      </c>
      <c r="M27" s="11">
        <f>IF(INDEX(precios!$N$3:$N$500,MATCH($B27,precios!$A$3:$A$500,0))&gt;0,INDEX(precios!$N$3:$N$500,MATCH($B27,precios!$A$3:$A$500,0))/$B$4,"")</f>
      </c>
      <c r="N27" s="11">
        <f>SUM(D27:M27)</f>
      </c>
    </row>
    <row r="28" spans="1:14" x14ac:dyDescent="0.25">
      <c r="A28" t="s">
        <v>281</v>
      </c>
      <c r="B28" t="s">
        <v>283</v>
      </c>
      <c r="C28">
        <f>INDEX(precios!$C$3:$C$500,MATCH($B28,precios!$A$3:$A$500,0))</f>
      </c>
      <c r="D28" s="11">
        <f>IF(INDEX(precios!$E$3:$E$500,MATCH($B28,precios!$A$3:$A$500,0))&gt;0,INDEX(precios!$E$3:$E$500,MATCH($B28,precios!$A$3:$A$500,0))/$B$4,"")</f>
      </c>
      <c r="E28" s="11">
        <f>IF(INDEX(precios!$F$3:$F$500,MATCH($B28,precios!$A$3:$A$500,0))&gt;0,INDEX(precios!$F$3:$F$500,MATCH($B28,precios!$A$3:$A$500,0))/$B$4,"")</f>
      </c>
      <c r="F28" s="11">
        <f>IF(INDEX(precios!$G$3:$G$500,MATCH($B28,precios!$A$3:$A$500,0))&gt;0,INDEX(precios!$G$3:$G$500,MATCH($B28,precios!$A$3:$A$500,0))/$B$4,"")</f>
      </c>
      <c r="G28" s="11">
        <f>IF(INDEX(precios!$H$3:$H$500,MATCH($B28,precios!$A$3:$A$500,0))&gt;0,INDEX(precios!$H$3:$H$500,MATCH($B28,precios!$A$3:$A$500,0))/$B$4,"")</f>
      </c>
      <c r="H28" s="11">
        <f>IF(INDEX(precios!$I$3:$I$500,MATCH($B28,precios!$A$3:$A$500,0))&gt;0,INDEX(precios!$I$3:$I$500,MATCH($B28,precios!$A$3:$A$500,0))/$B$4,"")</f>
      </c>
      <c r="I28" s="11">
        <f>IF(INDEX(precios!$J$3:$J$500,MATCH($B28,precios!$A$3:$A$500,0))&gt;0,INDEX(precios!$J$3:$J$500,MATCH($B28,precios!$A$3:$A$500,0))/$B$4,"")</f>
      </c>
      <c r="J28" s="11">
        <f>IF(INDEX(precios!$K$3:$K$500,MATCH($B28,precios!$A$3:$A$500,0))&gt;0,INDEX(precios!$K$3:$K$500,MATCH($B28,precios!$A$3:$A$500,0))/$B$4,"")</f>
      </c>
      <c r="K28" s="11">
        <f>IF(INDEX(precios!$L$3:$L$500,MATCH($B28,precios!$A$3:$A$500,0))&gt;0,INDEX(precios!$L$3:$L$500,MATCH($B28,precios!$A$3:$A$500,0))/$B$4,"")</f>
      </c>
      <c r="L28" s="11">
        <f>IF(INDEX(precios!$M$3:$M$500,MATCH($B28,precios!$A$3:$A$500,0))&gt;0,INDEX(precios!$M$3:$M$500,MATCH($B28,precios!$A$3:$A$500,0))/$B$4,"")</f>
      </c>
      <c r="M28" s="11">
        <f>IF(INDEX(precios!$N$3:$N$500,MATCH($B28,precios!$A$3:$A$500,0))&gt;0,INDEX(precios!$N$3:$N$500,MATCH($B28,precios!$A$3:$A$500,0))/$B$4,"")</f>
      </c>
      <c r="N28" s="11">
        <f>SUM(D28:M28)</f>
      </c>
    </row>
    <row r="29" spans="1:14" x14ac:dyDescent="0.25">
      <c r="A29" t="s">
        <v>281</v>
      </c>
      <c r="B29" t="s">
        <v>285</v>
      </c>
      <c r="C29">
        <f>INDEX(precios!$C$3:$C$500,MATCH($B29,precios!$A$3:$A$500,0))</f>
      </c>
      <c r="D29" s="11">
        <f>IF(INDEX(precios!$E$3:$E$500,MATCH($B29,precios!$A$3:$A$500,0))&gt;0,INDEX(precios!$E$3:$E$500,MATCH($B29,precios!$A$3:$A$500,0))/$B$4,"")</f>
      </c>
      <c r="E29" s="11">
        <f>IF(INDEX(precios!$F$3:$F$500,MATCH($B29,precios!$A$3:$A$500,0))&gt;0,INDEX(precios!$F$3:$F$500,MATCH($B29,precios!$A$3:$A$500,0))/$B$4,"")</f>
      </c>
      <c r="F29" s="11">
        <f>IF(INDEX(precios!$G$3:$G$500,MATCH($B29,precios!$A$3:$A$500,0))&gt;0,INDEX(precios!$G$3:$G$500,MATCH($B29,precios!$A$3:$A$500,0))/$B$4,"")</f>
      </c>
      <c r="G29" s="11">
        <f>IF(INDEX(precios!$H$3:$H$500,MATCH($B29,precios!$A$3:$A$500,0))&gt;0,INDEX(precios!$H$3:$H$500,MATCH($B29,precios!$A$3:$A$500,0))/$B$4,"")</f>
      </c>
      <c r="H29" s="11">
        <f>IF(INDEX(precios!$I$3:$I$500,MATCH($B29,precios!$A$3:$A$500,0))&gt;0,INDEX(precios!$I$3:$I$500,MATCH($B29,precios!$A$3:$A$500,0))/$B$4,"")</f>
      </c>
      <c r="I29" s="11">
        <f>IF(INDEX(precios!$J$3:$J$500,MATCH($B29,precios!$A$3:$A$500,0))&gt;0,INDEX(precios!$J$3:$J$500,MATCH($B29,precios!$A$3:$A$500,0))/$B$4,"")</f>
      </c>
      <c r="J29" s="11">
        <f>IF(INDEX(precios!$K$3:$K$500,MATCH($B29,precios!$A$3:$A$500,0))&gt;0,INDEX(precios!$K$3:$K$500,MATCH($B29,precios!$A$3:$A$500,0))/$B$4,"")</f>
      </c>
      <c r="K29" s="11">
        <f>IF(INDEX(precios!$L$3:$L$500,MATCH($B29,precios!$A$3:$A$500,0))&gt;0,INDEX(precios!$L$3:$L$500,MATCH($B29,precios!$A$3:$A$500,0))/$B$4,"")</f>
      </c>
      <c r="L29" s="11">
        <f>IF(INDEX(precios!$M$3:$M$500,MATCH($B29,precios!$A$3:$A$500,0))&gt;0,INDEX(precios!$M$3:$M$500,MATCH($B29,precios!$A$3:$A$500,0))/$B$4,"")</f>
      </c>
      <c r="M29" s="11">
        <f>IF(INDEX(precios!$N$3:$N$500,MATCH($B29,precios!$A$3:$A$500,0))&gt;0,INDEX(precios!$N$3:$N$500,MATCH($B29,precios!$A$3:$A$500,0))/$B$4,"")</f>
      </c>
      <c r="N29" s="11">
        <f>SUM(D29:M29)</f>
      </c>
    </row>
    <row r="30" spans="1:14" x14ac:dyDescent="0.25">
      <c r="A30" t="s">
        <v>281</v>
      </c>
      <c r="B30" t="s">
        <v>287</v>
      </c>
      <c r="C30">
        <f>INDEX(precios!$C$3:$C$500,MATCH($B30,precios!$A$3:$A$500,0))</f>
      </c>
      <c r="D30" s="11">
        <f>IF(INDEX(precios!$E$3:$E$500,MATCH($B30,precios!$A$3:$A$500,0))&gt;0,INDEX(precios!$E$3:$E$500,MATCH($B30,precios!$A$3:$A$500,0))/$B$4,"")</f>
      </c>
      <c r="E30" s="11">
        <f>IF(INDEX(precios!$F$3:$F$500,MATCH($B30,precios!$A$3:$A$500,0))&gt;0,INDEX(precios!$F$3:$F$500,MATCH($B30,precios!$A$3:$A$500,0))/$B$4,"")</f>
      </c>
      <c r="F30" s="11">
        <f>IF(INDEX(precios!$G$3:$G$500,MATCH($B30,precios!$A$3:$A$500,0))&gt;0,INDEX(precios!$G$3:$G$500,MATCH($B30,precios!$A$3:$A$500,0))/$B$4,"")</f>
      </c>
      <c r="G30" s="11">
        <f>IF(INDEX(precios!$H$3:$H$500,MATCH($B30,precios!$A$3:$A$500,0))&gt;0,INDEX(precios!$H$3:$H$500,MATCH($B30,precios!$A$3:$A$500,0))/$B$4,"")</f>
      </c>
      <c r="H30" s="11">
        <f>IF(INDEX(precios!$I$3:$I$500,MATCH($B30,precios!$A$3:$A$500,0))&gt;0,INDEX(precios!$I$3:$I$500,MATCH($B30,precios!$A$3:$A$500,0))/$B$4,"")</f>
      </c>
      <c r="I30" s="11">
        <f>IF(INDEX(precios!$J$3:$J$500,MATCH($B30,precios!$A$3:$A$500,0))&gt;0,INDEX(precios!$J$3:$J$500,MATCH($B30,precios!$A$3:$A$500,0))/$B$4,"")</f>
      </c>
      <c r="J30" s="11">
        <f>IF(INDEX(precios!$K$3:$K$500,MATCH($B30,precios!$A$3:$A$500,0))&gt;0,INDEX(precios!$K$3:$K$500,MATCH($B30,precios!$A$3:$A$500,0))/$B$4,"")</f>
      </c>
      <c r="K30" s="11">
        <f>IF(INDEX(precios!$L$3:$L$500,MATCH($B30,precios!$A$3:$A$500,0))&gt;0,INDEX(precios!$L$3:$L$500,MATCH($B30,precios!$A$3:$A$500,0))/$B$4,"")</f>
      </c>
      <c r="L30" s="11">
        <f>IF(INDEX(precios!$M$3:$M$500,MATCH($B30,precios!$A$3:$A$500,0))&gt;0,INDEX(precios!$M$3:$M$500,MATCH($B30,precios!$A$3:$A$500,0))/$B$4,"")</f>
      </c>
      <c r="M30" s="11">
        <f>IF(INDEX(precios!$N$3:$N$500,MATCH($B30,precios!$A$3:$A$500,0))&gt;0,INDEX(precios!$N$3:$N$500,MATCH($B30,precios!$A$3:$A$500,0))/$B$4,"")</f>
      </c>
      <c r="N30" s="11">
        <f>SUM(D30:M30)</f>
      </c>
    </row>
    <row r="31" spans="1:14" x14ac:dyDescent="0.25">
      <c r="A31" t="s">
        <v>281</v>
      </c>
      <c r="B31" t="s">
        <v>289</v>
      </c>
      <c r="C31">
        <f>INDEX(precios!$C$3:$C$500,MATCH($B31,precios!$A$3:$A$500,0))</f>
      </c>
      <c r="D31" s="11">
        <f>IF(INDEX(precios!$E$3:$E$500,MATCH($B31,precios!$A$3:$A$500,0))&gt;0,INDEX(precios!$E$3:$E$500,MATCH($B31,precios!$A$3:$A$500,0))/$B$4,"")</f>
      </c>
      <c r="E31" s="11">
        <f>IF(INDEX(precios!$F$3:$F$500,MATCH($B31,precios!$A$3:$A$500,0))&gt;0,INDEX(precios!$F$3:$F$500,MATCH($B31,precios!$A$3:$A$500,0))/$B$4,"")</f>
      </c>
      <c r="F31" s="11">
        <f>IF(INDEX(precios!$G$3:$G$500,MATCH($B31,precios!$A$3:$A$500,0))&gt;0,INDEX(precios!$G$3:$G$500,MATCH($B31,precios!$A$3:$A$500,0))/$B$4,"")</f>
      </c>
      <c r="G31" s="11">
        <f>IF(INDEX(precios!$H$3:$H$500,MATCH($B31,precios!$A$3:$A$500,0))&gt;0,INDEX(precios!$H$3:$H$500,MATCH($B31,precios!$A$3:$A$500,0))/$B$4,"")</f>
      </c>
      <c r="H31" s="11">
        <f>IF(INDEX(precios!$I$3:$I$500,MATCH($B31,precios!$A$3:$A$500,0))&gt;0,INDEX(precios!$I$3:$I$500,MATCH($B31,precios!$A$3:$A$500,0))/$B$4,"")</f>
      </c>
      <c r="I31" s="11">
        <f>IF(INDEX(precios!$J$3:$J$500,MATCH($B31,precios!$A$3:$A$500,0))&gt;0,INDEX(precios!$J$3:$J$500,MATCH($B31,precios!$A$3:$A$500,0))/$B$4,"")</f>
      </c>
      <c r="J31" s="11">
        <f>IF(INDEX(precios!$K$3:$K$500,MATCH($B31,precios!$A$3:$A$500,0))&gt;0,INDEX(precios!$K$3:$K$500,MATCH($B31,precios!$A$3:$A$500,0))/$B$4,"")</f>
      </c>
      <c r="K31" s="11">
        <f>IF(INDEX(precios!$L$3:$L$500,MATCH($B31,precios!$A$3:$A$500,0))&gt;0,INDEX(precios!$L$3:$L$500,MATCH($B31,precios!$A$3:$A$500,0))/$B$4,"")</f>
      </c>
      <c r="L31" s="11">
        <f>IF(INDEX(precios!$M$3:$M$500,MATCH($B31,precios!$A$3:$A$500,0))&gt;0,INDEX(precios!$M$3:$M$500,MATCH($B31,precios!$A$3:$A$500,0))/$B$4,"")</f>
      </c>
      <c r="M31" s="11">
        <f>IF(INDEX(precios!$N$3:$N$500,MATCH($B31,precios!$A$3:$A$500,0))&gt;0,INDEX(precios!$N$3:$N$500,MATCH($B31,precios!$A$3:$A$500,0))/$B$4,"")</f>
      </c>
      <c r="N31" s="11">
        <f>SUM(D31:M31)</f>
      </c>
    </row>
    <row r="32" spans="1:14" x14ac:dyDescent="0.25">
      <c r="A32" t="s">
        <v>281</v>
      </c>
      <c r="B32" t="s">
        <v>291</v>
      </c>
      <c r="C32">
        <f>INDEX(precios!$C$3:$C$500,MATCH($B32,precios!$A$3:$A$500,0))</f>
      </c>
      <c r="D32" s="11">
        <f>IF(INDEX(precios!$E$3:$E$500,MATCH($B32,precios!$A$3:$A$500,0))&gt;0,INDEX(precios!$E$3:$E$500,MATCH($B32,precios!$A$3:$A$500,0))/$B$4,"")</f>
      </c>
      <c r="E32" s="11">
        <f>IF(INDEX(precios!$F$3:$F$500,MATCH($B32,precios!$A$3:$A$500,0))&gt;0,INDEX(precios!$F$3:$F$500,MATCH($B32,precios!$A$3:$A$500,0))/$B$4,"")</f>
      </c>
      <c r="F32" s="11">
        <f>IF(INDEX(precios!$G$3:$G$500,MATCH($B32,precios!$A$3:$A$500,0))&gt;0,INDEX(precios!$G$3:$G$500,MATCH($B32,precios!$A$3:$A$500,0))/$B$4,"")</f>
      </c>
      <c r="G32" s="11">
        <f>IF(INDEX(precios!$H$3:$H$500,MATCH($B32,precios!$A$3:$A$500,0))&gt;0,INDEX(precios!$H$3:$H$500,MATCH($B32,precios!$A$3:$A$500,0))/$B$4,"")</f>
      </c>
      <c r="H32" s="11">
        <f>IF(INDEX(precios!$I$3:$I$500,MATCH($B32,precios!$A$3:$A$500,0))&gt;0,INDEX(precios!$I$3:$I$500,MATCH($B32,precios!$A$3:$A$500,0))/$B$4,"")</f>
      </c>
      <c r="I32" s="11">
        <f>IF(INDEX(precios!$J$3:$J$500,MATCH($B32,precios!$A$3:$A$500,0))&gt;0,INDEX(precios!$J$3:$J$500,MATCH($B32,precios!$A$3:$A$500,0))/$B$4,"")</f>
      </c>
      <c r="J32" s="11">
        <f>IF(INDEX(precios!$K$3:$K$500,MATCH($B32,precios!$A$3:$A$500,0))&gt;0,INDEX(precios!$K$3:$K$500,MATCH($B32,precios!$A$3:$A$500,0))/$B$4,"")</f>
      </c>
      <c r="K32" s="11">
        <f>IF(INDEX(precios!$L$3:$L$500,MATCH($B32,precios!$A$3:$A$500,0))&gt;0,INDEX(precios!$L$3:$L$500,MATCH($B32,precios!$A$3:$A$500,0))/$B$4,"")</f>
      </c>
      <c r="L32" s="11">
        <f>IF(INDEX(precios!$M$3:$M$500,MATCH($B32,precios!$A$3:$A$500,0))&gt;0,INDEX(precios!$M$3:$M$500,MATCH($B32,precios!$A$3:$A$500,0))/$B$4,"")</f>
      </c>
      <c r="M32" s="11">
        <f>IF(INDEX(precios!$N$3:$N$500,MATCH($B32,precios!$A$3:$A$500,0))&gt;0,INDEX(precios!$N$3:$N$500,MATCH($B32,precios!$A$3:$A$500,0))/$B$4,"")</f>
      </c>
      <c r="N32" s="11">
        <f>SUM(D32:M32)</f>
      </c>
    </row>
    <row r="33" spans="1:14" x14ac:dyDescent="0.25">
      <c r="A33" t="s">
        <v>281</v>
      </c>
      <c r="B33" t="s">
        <v>293</v>
      </c>
      <c r="C33">
        <f>INDEX(precios!$C$3:$C$500,MATCH($B33,precios!$A$3:$A$500,0))</f>
      </c>
      <c r="D33" s="11">
        <f>IF(INDEX(precios!$E$3:$E$500,MATCH($B33,precios!$A$3:$A$500,0))&gt;0,INDEX(precios!$E$3:$E$500,MATCH($B33,precios!$A$3:$A$500,0))/$B$4,"")</f>
      </c>
      <c r="E33" s="11">
        <f>IF(INDEX(precios!$F$3:$F$500,MATCH($B33,precios!$A$3:$A$500,0))&gt;0,INDEX(precios!$F$3:$F$500,MATCH($B33,precios!$A$3:$A$500,0))/$B$4,"")</f>
      </c>
      <c r="F33" s="11">
        <f>IF(INDEX(precios!$G$3:$G$500,MATCH($B33,precios!$A$3:$A$500,0))&gt;0,INDEX(precios!$G$3:$G$500,MATCH($B33,precios!$A$3:$A$500,0))/$B$4,"")</f>
      </c>
      <c r="G33" s="11">
        <f>IF(INDEX(precios!$H$3:$H$500,MATCH($B33,precios!$A$3:$A$500,0))&gt;0,INDEX(precios!$H$3:$H$500,MATCH($B33,precios!$A$3:$A$500,0))/$B$4,"")</f>
      </c>
      <c r="H33" s="11">
        <f>IF(INDEX(precios!$I$3:$I$500,MATCH($B33,precios!$A$3:$A$500,0))&gt;0,INDEX(precios!$I$3:$I$500,MATCH($B33,precios!$A$3:$A$500,0))/$B$4,"")</f>
      </c>
      <c r="I33" s="11">
        <f>IF(INDEX(precios!$J$3:$J$500,MATCH($B33,precios!$A$3:$A$500,0))&gt;0,INDEX(precios!$J$3:$J$500,MATCH($B33,precios!$A$3:$A$500,0))/$B$4,"")</f>
      </c>
      <c r="J33" s="11">
        <f>IF(INDEX(precios!$K$3:$K$500,MATCH($B33,precios!$A$3:$A$500,0))&gt;0,INDEX(precios!$K$3:$K$500,MATCH($B33,precios!$A$3:$A$500,0))/$B$4,"")</f>
      </c>
      <c r="K33" s="11">
        <f>IF(INDEX(precios!$L$3:$L$500,MATCH($B33,precios!$A$3:$A$500,0))&gt;0,INDEX(precios!$L$3:$L$500,MATCH($B33,precios!$A$3:$A$500,0))/$B$4,"")</f>
      </c>
      <c r="L33" s="11">
        <f>IF(INDEX(precios!$M$3:$M$500,MATCH($B33,precios!$A$3:$A$500,0))&gt;0,INDEX(precios!$M$3:$M$500,MATCH($B33,precios!$A$3:$A$500,0))/$B$4,"")</f>
      </c>
      <c r="M33" s="11">
        <f>IF(INDEX(precios!$N$3:$N$500,MATCH($B33,precios!$A$3:$A$500,0))&gt;0,INDEX(precios!$N$3:$N$500,MATCH($B33,precios!$A$3:$A$500,0))/$B$4,"")</f>
      </c>
      <c r="N33" s="11">
        <f>SUM(D33:M33)</f>
      </c>
    </row>
    <row r="34" spans="1:14" x14ac:dyDescent="0.25">
      <c r="A34" t="s">
        <v>281</v>
      </c>
      <c r="B34" t="s">
        <v>295</v>
      </c>
      <c r="C34">
        <f>INDEX(precios!$C$3:$C$500,MATCH($B34,precios!$A$3:$A$500,0))</f>
      </c>
      <c r="D34" s="11">
        <f>IF(INDEX(precios!$E$3:$E$500,MATCH($B34,precios!$A$3:$A$500,0))&gt;0,INDEX(precios!$E$3:$E$500,MATCH($B34,precios!$A$3:$A$500,0))/$B$4,"")</f>
      </c>
      <c r="E34" s="11">
        <f>IF(INDEX(precios!$F$3:$F$500,MATCH($B34,precios!$A$3:$A$500,0))&gt;0,INDEX(precios!$F$3:$F$500,MATCH($B34,precios!$A$3:$A$500,0))/$B$4,"")</f>
      </c>
      <c r="F34" s="11">
        <f>IF(INDEX(precios!$G$3:$G$500,MATCH($B34,precios!$A$3:$A$500,0))&gt;0,INDEX(precios!$G$3:$G$500,MATCH($B34,precios!$A$3:$A$500,0))/$B$4,"")</f>
      </c>
      <c r="G34" s="11">
        <f>IF(INDEX(precios!$H$3:$H$500,MATCH($B34,precios!$A$3:$A$500,0))&gt;0,INDEX(precios!$H$3:$H$500,MATCH($B34,precios!$A$3:$A$500,0))/$B$4,"")</f>
      </c>
      <c r="H34" s="11">
        <f>IF(INDEX(precios!$I$3:$I$500,MATCH($B34,precios!$A$3:$A$500,0))&gt;0,INDEX(precios!$I$3:$I$500,MATCH($B34,precios!$A$3:$A$500,0))/$B$4,"")</f>
      </c>
      <c r="I34" s="11">
        <f>IF(INDEX(precios!$J$3:$J$500,MATCH($B34,precios!$A$3:$A$500,0))&gt;0,INDEX(precios!$J$3:$J$500,MATCH($B34,precios!$A$3:$A$500,0))/$B$4,"")</f>
      </c>
      <c r="J34" s="11">
        <f>IF(INDEX(precios!$K$3:$K$500,MATCH($B34,precios!$A$3:$A$500,0))&gt;0,INDEX(precios!$K$3:$K$500,MATCH($B34,precios!$A$3:$A$500,0))/$B$4,"")</f>
      </c>
      <c r="K34" s="11">
        <f>IF(INDEX(precios!$L$3:$L$500,MATCH($B34,precios!$A$3:$A$500,0))&gt;0,INDEX(precios!$L$3:$L$500,MATCH($B34,precios!$A$3:$A$500,0))/$B$4,"")</f>
      </c>
      <c r="L34" s="11">
        <f>IF(INDEX(precios!$M$3:$M$500,MATCH($B34,precios!$A$3:$A$500,0))&gt;0,INDEX(precios!$M$3:$M$500,MATCH($B34,precios!$A$3:$A$500,0))/$B$4,"")</f>
      </c>
      <c r="M34" s="11">
        <f>IF(INDEX(precios!$N$3:$N$500,MATCH($B34,precios!$A$3:$A$500,0))&gt;0,INDEX(precios!$N$3:$N$500,MATCH($B34,precios!$A$3:$A$500,0))/$B$4,"")</f>
      </c>
      <c r="N34" s="11">
        <f>SUM(D34:M34)</f>
      </c>
    </row>
    <row r="35" spans="1:14" x14ac:dyDescent="0.25">
      <c r="A35" t="s">
        <v>281</v>
      </c>
      <c r="B35" t="s">
        <v>297</v>
      </c>
      <c r="C35">
        <f>INDEX(precios!$C$3:$C$500,MATCH($B35,precios!$A$3:$A$500,0))</f>
      </c>
      <c r="D35" s="11">
        <f>IF(INDEX(precios!$E$3:$E$500,MATCH($B35,precios!$A$3:$A$500,0))&gt;0,INDEX(precios!$E$3:$E$500,MATCH($B35,precios!$A$3:$A$500,0))/$B$4,"")</f>
      </c>
      <c r="E35" s="11">
        <f>IF(INDEX(precios!$F$3:$F$500,MATCH($B35,precios!$A$3:$A$500,0))&gt;0,INDEX(precios!$F$3:$F$500,MATCH($B35,precios!$A$3:$A$500,0))/$B$4,"")</f>
      </c>
      <c r="F35" s="11">
        <f>IF(INDEX(precios!$G$3:$G$500,MATCH($B35,precios!$A$3:$A$500,0))&gt;0,INDEX(precios!$G$3:$G$500,MATCH($B35,precios!$A$3:$A$500,0))/$B$4,"")</f>
      </c>
      <c r="G35" s="11">
        <f>IF(INDEX(precios!$H$3:$H$500,MATCH($B35,precios!$A$3:$A$500,0))&gt;0,INDEX(precios!$H$3:$H$500,MATCH($B35,precios!$A$3:$A$500,0))/$B$4,"")</f>
      </c>
      <c r="H35" s="11">
        <f>IF(INDEX(precios!$I$3:$I$500,MATCH($B35,precios!$A$3:$A$500,0))&gt;0,INDEX(precios!$I$3:$I$500,MATCH($B35,precios!$A$3:$A$500,0))/$B$4,"")</f>
      </c>
      <c r="I35" s="11">
        <f>IF(INDEX(precios!$J$3:$J$500,MATCH($B35,precios!$A$3:$A$500,0))&gt;0,INDEX(precios!$J$3:$J$500,MATCH($B35,precios!$A$3:$A$500,0))/$B$4,"")</f>
      </c>
      <c r="J35" s="11">
        <f>IF(INDEX(precios!$K$3:$K$500,MATCH($B35,precios!$A$3:$A$500,0))&gt;0,INDEX(precios!$K$3:$K$500,MATCH($B35,precios!$A$3:$A$500,0))/$B$4,"")</f>
      </c>
      <c r="K35" s="11">
        <f>IF(INDEX(precios!$L$3:$L$500,MATCH($B35,precios!$A$3:$A$500,0))&gt;0,INDEX(precios!$L$3:$L$500,MATCH($B35,precios!$A$3:$A$500,0))/$B$4,"")</f>
      </c>
      <c r="L35" s="11">
        <f>IF(INDEX(precios!$M$3:$M$500,MATCH($B35,precios!$A$3:$A$500,0))&gt;0,INDEX(precios!$M$3:$M$500,MATCH($B35,precios!$A$3:$A$500,0))/$B$4,"")</f>
      </c>
      <c r="M35" s="11">
        <f>IF(INDEX(precios!$N$3:$N$500,MATCH($B35,precios!$A$3:$A$500,0))&gt;0,INDEX(precios!$N$3:$N$500,MATCH($B35,precios!$A$3:$A$500,0))/$B$4,"")</f>
      </c>
      <c r="N35" s="11">
        <f>SUM(D35:M35)</f>
      </c>
    </row>
    <row r="36" spans="1:14" x14ac:dyDescent="0.25">
      <c r="A36" t="s">
        <v>281</v>
      </c>
      <c r="B36" t="s">
        <v>299</v>
      </c>
      <c r="C36">
        <f>INDEX(precios!$C$3:$C$500,MATCH($B36,precios!$A$3:$A$500,0))</f>
      </c>
      <c r="D36" s="11">
        <f>IF(INDEX(precios!$E$3:$E$500,MATCH($B36,precios!$A$3:$A$500,0))&gt;0,INDEX(precios!$E$3:$E$500,MATCH($B36,precios!$A$3:$A$500,0))/$B$4,"")</f>
      </c>
      <c r="E36" s="11">
        <f>IF(INDEX(precios!$F$3:$F$500,MATCH($B36,precios!$A$3:$A$500,0))&gt;0,INDEX(precios!$F$3:$F$500,MATCH($B36,precios!$A$3:$A$500,0))/$B$4,"")</f>
      </c>
      <c r="F36" s="11">
        <f>IF(INDEX(precios!$G$3:$G$500,MATCH($B36,precios!$A$3:$A$500,0))&gt;0,INDEX(precios!$G$3:$G$500,MATCH($B36,precios!$A$3:$A$500,0))/$B$4,"")</f>
      </c>
      <c r="G36" s="11">
        <f>IF(INDEX(precios!$H$3:$H$500,MATCH($B36,precios!$A$3:$A$500,0))&gt;0,INDEX(precios!$H$3:$H$500,MATCH($B36,precios!$A$3:$A$500,0))/$B$4,"")</f>
      </c>
      <c r="H36" s="11">
        <f>IF(INDEX(precios!$I$3:$I$500,MATCH($B36,precios!$A$3:$A$500,0))&gt;0,INDEX(precios!$I$3:$I$500,MATCH($B36,precios!$A$3:$A$500,0))/$B$4,"")</f>
      </c>
      <c r="I36" s="11">
        <f>IF(INDEX(precios!$J$3:$J$500,MATCH($B36,precios!$A$3:$A$500,0))&gt;0,INDEX(precios!$J$3:$J$500,MATCH($B36,precios!$A$3:$A$500,0))/$B$4,"")</f>
      </c>
      <c r="J36" s="11">
        <f>IF(INDEX(precios!$K$3:$K$500,MATCH($B36,precios!$A$3:$A$500,0))&gt;0,INDEX(precios!$K$3:$K$500,MATCH($B36,precios!$A$3:$A$500,0))/$B$4,"")</f>
      </c>
      <c r="K36" s="11">
        <f>IF(INDEX(precios!$L$3:$L$500,MATCH($B36,precios!$A$3:$A$500,0))&gt;0,INDEX(precios!$L$3:$L$500,MATCH($B36,precios!$A$3:$A$500,0))/$B$4,"")</f>
      </c>
      <c r="L36" s="11">
        <f>IF(INDEX(precios!$M$3:$M$500,MATCH($B36,precios!$A$3:$A$500,0))&gt;0,INDEX(precios!$M$3:$M$500,MATCH($B36,precios!$A$3:$A$500,0))/$B$4,"")</f>
      </c>
      <c r="M36" s="11">
        <f>IF(INDEX(precios!$N$3:$N$500,MATCH($B36,precios!$A$3:$A$500,0))&gt;0,INDEX(precios!$N$3:$N$500,MATCH($B36,precios!$A$3:$A$500,0))/$B$4,"")</f>
      </c>
      <c r="N36" s="11">
        <f>SUM(D36:M36)</f>
      </c>
    </row>
    <row r="37" spans="1:14" x14ac:dyDescent="0.25">
      <c r="A37" t="s">
        <v>302</v>
      </c>
      <c r="B37" t="s">
        <v>301</v>
      </c>
      <c r="C37">
        <f>INDEX(precios!$C$3:$C$500,MATCH($B37,precios!$A$3:$A$500,0))</f>
      </c>
      <c r="D37" s="11">
        <f>IF(INDEX(precios!$E$3:$E$500,MATCH($B37,precios!$A$3:$A$500,0))&gt;0,INDEX(precios!$E$3:$E$500,MATCH($B37,precios!$A$3:$A$500,0))/$B$4,"")</f>
      </c>
      <c r="E37" s="11">
        <f>IF(INDEX(precios!$F$3:$F$500,MATCH($B37,precios!$A$3:$A$500,0))&gt;0,INDEX(precios!$F$3:$F$500,MATCH($B37,precios!$A$3:$A$500,0))/$B$4,"")</f>
      </c>
      <c r="F37" s="11">
        <f>IF(INDEX(precios!$G$3:$G$500,MATCH($B37,precios!$A$3:$A$500,0))&gt;0,INDEX(precios!$G$3:$G$500,MATCH($B37,precios!$A$3:$A$500,0))/$B$4,"")</f>
      </c>
      <c r="G37" s="11">
        <f>IF(INDEX(precios!$H$3:$H$500,MATCH($B37,precios!$A$3:$A$500,0))&gt;0,INDEX(precios!$H$3:$H$500,MATCH($B37,precios!$A$3:$A$500,0))/$B$4,"")</f>
      </c>
      <c r="H37" s="11">
        <f>IF(INDEX(precios!$I$3:$I$500,MATCH($B37,precios!$A$3:$A$500,0))&gt;0,INDEX(precios!$I$3:$I$500,MATCH($B37,precios!$A$3:$A$500,0))/$B$4,"")</f>
      </c>
      <c r="I37" s="11">
        <f>IF(INDEX(precios!$J$3:$J$500,MATCH($B37,precios!$A$3:$A$500,0))&gt;0,INDEX(precios!$J$3:$J$500,MATCH($B37,precios!$A$3:$A$500,0))/$B$4,"")</f>
      </c>
      <c r="J37" s="11">
        <f>IF(INDEX(precios!$K$3:$K$500,MATCH($B37,precios!$A$3:$A$500,0))&gt;0,INDEX(precios!$K$3:$K$500,MATCH($B37,precios!$A$3:$A$500,0))/$B$4,"")</f>
      </c>
      <c r="K37" s="11">
        <f>IF(INDEX(precios!$L$3:$L$500,MATCH($B37,precios!$A$3:$A$500,0))&gt;0,INDEX(precios!$L$3:$L$500,MATCH($B37,precios!$A$3:$A$500,0))/$B$4,"")</f>
      </c>
      <c r="L37" s="11">
        <f>IF(INDEX(precios!$M$3:$M$500,MATCH($B37,precios!$A$3:$A$500,0))&gt;0,INDEX(precios!$M$3:$M$500,MATCH($B37,precios!$A$3:$A$500,0))/$B$4,"")</f>
      </c>
      <c r="M37" s="11">
        <f>IF(INDEX(precios!$N$3:$N$500,MATCH($B37,precios!$A$3:$A$500,0))&gt;0,INDEX(precios!$N$3:$N$500,MATCH($B37,precios!$A$3:$A$500,0))/$B$4,"")</f>
      </c>
      <c r="N37" s="11">
        <f>SUM(D37:M37)</f>
      </c>
    </row>
    <row r="38" spans="1:14" x14ac:dyDescent="0.25">
      <c r="A38" t="s">
        <v>302</v>
      </c>
      <c r="B38" t="s">
        <v>304</v>
      </c>
      <c r="C38">
        <f>INDEX(precios!$C$3:$C$500,MATCH($B38,precios!$A$3:$A$500,0))</f>
      </c>
      <c r="D38" s="11">
        <f>IF(INDEX(precios!$E$3:$E$500,MATCH($B38,precios!$A$3:$A$500,0))&gt;0,INDEX(precios!$E$3:$E$500,MATCH($B38,precios!$A$3:$A$500,0))/$B$4,"")</f>
      </c>
      <c r="E38" s="11">
        <f>IF(INDEX(precios!$F$3:$F$500,MATCH($B38,precios!$A$3:$A$500,0))&gt;0,INDEX(precios!$F$3:$F$500,MATCH($B38,precios!$A$3:$A$500,0))/$B$4,"")</f>
      </c>
      <c r="F38" s="11">
        <f>IF(INDEX(precios!$G$3:$G$500,MATCH($B38,precios!$A$3:$A$500,0))&gt;0,INDEX(precios!$G$3:$G$500,MATCH($B38,precios!$A$3:$A$500,0))/$B$4,"")</f>
      </c>
      <c r="G38" s="11">
        <f>IF(INDEX(precios!$H$3:$H$500,MATCH($B38,precios!$A$3:$A$500,0))&gt;0,INDEX(precios!$H$3:$H$500,MATCH($B38,precios!$A$3:$A$500,0))/$B$4,"")</f>
      </c>
      <c r="H38" s="11">
        <f>IF(INDEX(precios!$I$3:$I$500,MATCH($B38,precios!$A$3:$A$500,0))&gt;0,INDEX(precios!$I$3:$I$500,MATCH($B38,precios!$A$3:$A$500,0))/$B$4,"")</f>
      </c>
      <c r="I38" s="11">
        <f>IF(INDEX(precios!$J$3:$J$500,MATCH($B38,precios!$A$3:$A$500,0))&gt;0,INDEX(precios!$J$3:$J$500,MATCH($B38,precios!$A$3:$A$500,0))/$B$4,"")</f>
      </c>
      <c r="J38" s="11">
        <f>IF(INDEX(precios!$K$3:$K$500,MATCH($B38,precios!$A$3:$A$500,0))&gt;0,INDEX(precios!$K$3:$K$500,MATCH($B38,precios!$A$3:$A$500,0))/$B$4,"")</f>
      </c>
      <c r="K38" s="11">
        <f>IF(INDEX(precios!$L$3:$L$500,MATCH($B38,precios!$A$3:$A$500,0))&gt;0,INDEX(precios!$L$3:$L$500,MATCH($B38,precios!$A$3:$A$500,0))/$B$4,"")</f>
      </c>
      <c r="L38" s="11">
        <f>IF(INDEX(precios!$M$3:$M$500,MATCH($B38,precios!$A$3:$A$500,0))&gt;0,INDEX(precios!$M$3:$M$500,MATCH($B38,precios!$A$3:$A$500,0))/$B$4,"")</f>
      </c>
      <c r="M38" s="11">
        <f>IF(INDEX(precios!$N$3:$N$500,MATCH($B38,precios!$A$3:$A$500,0))&gt;0,INDEX(precios!$N$3:$N$500,MATCH($B38,precios!$A$3:$A$500,0))/$B$4,"")</f>
      </c>
      <c r="N38" s="11">
        <f>SUM(D38:M38)</f>
      </c>
    </row>
    <row r="39" spans="1:14" x14ac:dyDescent="0.25">
      <c r="A39" t="s">
        <v>302</v>
      </c>
      <c r="B39" t="s">
        <v>306</v>
      </c>
      <c r="C39">
        <f>INDEX(precios!$C$3:$C$500,MATCH($B39,precios!$A$3:$A$500,0))</f>
      </c>
      <c r="D39" s="11">
        <f>IF(INDEX(precios!$E$3:$E$500,MATCH($B39,precios!$A$3:$A$500,0))&gt;0,INDEX(precios!$E$3:$E$500,MATCH($B39,precios!$A$3:$A$500,0))/$B$4,"")</f>
      </c>
      <c r="E39" s="11">
        <f>IF(INDEX(precios!$F$3:$F$500,MATCH($B39,precios!$A$3:$A$500,0))&gt;0,INDEX(precios!$F$3:$F$500,MATCH($B39,precios!$A$3:$A$500,0))/$B$4,"")</f>
      </c>
      <c r="F39" s="11">
        <f>IF(INDEX(precios!$G$3:$G$500,MATCH($B39,precios!$A$3:$A$500,0))&gt;0,INDEX(precios!$G$3:$G$500,MATCH($B39,precios!$A$3:$A$500,0))/$B$4,"")</f>
      </c>
      <c r="G39" s="11">
        <f>IF(INDEX(precios!$H$3:$H$500,MATCH($B39,precios!$A$3:$A$500,0))&gt;0,INDEX(precios!$H$3:$H$500,MATCH($B39,precios!$A$3:$A$500,0))/$B$4,"")</f>
      </c>
      <c r="H39" s="11">
        <f>IF(INDEX(precios!$I$3:$I$500,MATCH($B39,precios!$A$3:$A$500,0))&gt;0,INDEX(precios!$I$3:$I$500,MATCH($B39,precios!$A$3:$A$500,0))/$B$4,"")</f>
      </c>
      <c r="I39" s="11">
        <f>IF(INDEX(precios!$J$3:$J$500,MATCH($B39,precios!$A$3:$A$500,0))&gt;0,INDEX(precios!$J$3:$J$500,MATCH($B39,precios!$A$3:$A$500,0))/$B$4,"")</f>
      </c>
      <c r="J39" s="11">
        <f>IF(INDEX(precios!$K$3:$K$500,MATCH($B39,precios!$A$3:$A$500,0))&gt;0,INDEX(precios!$K$3:$K$500,MATCH($B39,precios!$A$3:$A$500,0))/$B$4,"")</f>
      </c>
      <c r="K39" s="11">
        <f>IF(INDEX(precios!$L$3:$L$500,MATCH($B39,precios!$A$3:$A$500,0))&gt;0,INDEX(precios!$L$3:$L$500,MATCH($B39,precios!$A$3:$A$500,0))/$B$4,"")</f>
      </c>
      <c r="L39" s="11">
        <f>IF(INDEX(precios!$M$3:$M$500,MATCH($B39,precios!$A$3:$A$500,0))&gt;0,INDEX(precios!$M$3:$M$500,MATCH($B39,precios!$A$3:$A$500,0))/$B$4,"")</f>
      </c>
      <c r="M39" s="11">
        <f>IF(INDEX(precios!$N$3:$N$500,MATCH($B39,precios!$A$3:$A$500,0))&gt;0,INDEX(precios!$N$3:$N$500,MATCH($B39,precios!$A$3:$A$500,0))/$B$4,"")</f>
      </c>
      <c r="N39" s="11">
        <f>SUM(D39:M39)</f>
      </c>
    </row>
    <row r="40" spans="1:14" x14ac:dyDescent="0.25">
      <c r="A40" t="s">
        <v>302</v>
      </c>
      <c r="B40" t="s">
        <v>308</v>
      </c>
      <c r="C40">
        <f>INDEX(precios!$C$3:$C$500,MATCH($B40,precios!$A$3:$A$500,0))</f>
      </c>
      <c r="D40" s="11">
        <f>IF(INDEX(precios!$E$3:$E$500,MATCH($B40,precios!$A$3:$A$500,0))&gt;0,INDEX(precios!$E$3:$E$500,MATCH($B40,precios!$A$3:$A$500,0))/$B$4,"")</f>
      </c>
      <c r="E40" s="11">
        <f>IF(INDEX(precios!$F$3:$F$500,MATCH($B40,precios!$A$3:$A$500,0))&gt;0,INDEX(precios!$F$3:$F$500,MATCH($B40,precios!$A$3:$A$500,0))/$B$4,"")</f>
      </c>
      <c r="F40" s="11">
        <f>IF(INDEX(precios!$G$3:$G$500,MATCH($B40,precios!$A$3:$A$500,0))&gt;0,INDEX(precios!$G$3:$G$500,MATCH($B40,precios!$A$3:$A$500,0))/$B$4,"")</f>
      </c>
      <c r="G40" s="11">
        <f>IF(INDEX(precios!$H$3:$H$500,MATCH($B40,precios!$A$3:$A$500,0))&gt;0,INDEX(precios!$H$3:$H$500,MATCH($B40,precios!$A$3:$A$500,0))/$B$4,"")</f>
      </c>
      <c r="H40" s="11">
        <f>IF(INDEX(precios!$I$3:$I$500,MATCH($B40,precios!$A$3:$A$500,0))&gt;0,INDEX(precios!$I$3:$I$500,MATCH($B40,precios!$A$3:$A$500,0))/$B$4,"")</f>
      </c>
      <c r="I40" s="11">
        <f>IF(INDEX(precios!$J$3:$J$500,MATCH($B40,precios!$A$3:$A$500,0))&gt;0,INDEX(precios!$J$3:$J$500,MATCH($B40,precios!$A$3:$A$500,0))/$B$4,"")</f>
      </c>
      <c r="J40" s="11">
        <f>IF(INDEX(precios!$K$3:$K$500,MATCH($B40,precios!$A$3:$A$500,0))&gt;0,INDEX(precios!$K$3:$K$500,MATCH($B40,precios!$A$3:$A$500,0))/$B$4,"")</f>
      </c>
      <c r="K40" s="11">
        <f>IF(INDEX(precios!$L$3:$L$500,MATCH($B40,precios!$A$3:$A$500,0))&gt;0,INDEX(precios!$L$3:$L$500,MATCH($B40,precios!$A$3:$A$500,0))/$B$4,"")</f>
      </c>
      <c r="L40" s="11">
        <f>IF(INDEX(precios!$M$3:$M$500,MATCH($B40,precios!$A$3:$A$500,0))&gt;0,INDEX(precios!$M$3:$M$500,MATCH($B40,precios!$A$3:$A$500,0))/$B$4,"")</f>
      </c>
      <c r="M40" s="11">
        <f>IF(INDEX(precios!$N$3:$N$500,MATCH($B40,precios!$A$3:$A$500,0))&gt;0,INDEX(precios!$N$3:$N$500,MATCH($B40,precios!$A$3:$A$500,0))/$B$4,"")</f>
      </c>
      <c r="N40" s="11">
        <f>SUM(D40:M40)</f>
      </c>
    </row>
    <row r="41" spans="1:14" x14ac:dyDescent="0.25">
      <c r="A41" t="s">
        <v>311</v>
      </c>
      <c r="B41" t="s">
        <v>310</v>
      </c>
      <c r="C41">
        <f>INDEX(precios!$C$3:$C$500,MATCH($B41,precios!$A$3:$A$500,0))</f>
      </c>
      <c r="D41" s="11">
        <f>IF(INDEX(precios!$E$3:$E$500,MATCH($B41,precios!$A$3:$A$500,0))&gt;0,INDEX(precios!$E$3:$E$500,MATCH($B41,precios!$A$3:$A$500,0))/$B$4,"")</f>
      </c>
      <c r="E41" s="11">
        <f>IF(INDEX(precios!$F$3:$F$500,MATCH($B41,precios!$A$3:$A$500,0))&gt;0,INDEX(precios!$F$3:$F$500,MATCH($B41,precios!$A$3:$A$500,0))/$B$4,"")</f>
      </c>
      <c r="F41" s="11">
        <f>IF(INDEX(precios!$G$3:$G$500,MATCH($B41,precios!$A$3:$A$500,0))&gt;0,INDEX(precios!$G$3:$G$500,MATCH($B41,precios!$A$3:$A$500,0))/$B$4,"")</f>
      </c>
      <c r="G41" s="11">
        <f>IF(INDEX(precios!$H$3:$H$500,MATCH($B41,precios!$A$3:$A$500,0))&gt;0,INDEX(precios!$H$3:$H$500,MATCH($B41,precios!$A$3:$A$500,0))/$B$4,"")</f>
      </c>
      <c r="H41" s="11">
        <f>IF(INDEX(precios!$I$3:$I$500,MATCH($B41,precios!$A$3:$A$500,0))&gt;0,INDEX(precios!$I$3:$I$500,MATCH($B41,precios!$A$3:$A$500,0))/$B$4,"")</f>
      </c>
      <c r="I41" s="11">
        <f>IF(INDEX(precios!$J$3:$J$500,MATCH($B41,precios!$A$3:$A$500,0))&gt;0,INDEX(precios!$J$3:$J$500,MATCH($B41,precios!$A$3:$A$500,0))/$B$4,"")</f>
      </c>
      <c r="J41" s="11">
        <f>IF(INDEX(precios!$K$3:$K$500,MATCH($B41,precios!$A$3:$A$500,0))&gt;0,INDEX(precios!$K$3:$K$500,MATCH($B41,precios!$A$3:$A$500,0))/$B$4,"")</f>
      </c>
      <c r="K41" s="11">
        <f>IF(INDEX(precios!$L$3:$L$500,MATCH($B41,precios!$A$3:$A$500,0))&gt;0,INDEX(precios!$L$3:$L$500,MATCH($B41,precios!$A$3:$A$500,0))/$B$4,"")</f>
      </c>
      <c r="L41" s="11">
        <f>IF(INDEX(precios!$M$3:$M$500,MATCH($B41,precios!$A$3:$A$500,0))&gt;0,INDEX(precios!$M$3:$M$500,MATCH($B41,precios!$A$3:$A$500,0))/$B$4,"")</f>
      </c>
      <c r="M41" s="11">
        <f>IF(INDEX(precios!$N$3:$N$500,MATCH($B41,precios!$A$3:$A$500,0))&gt;0,INDEX(precios!$N$3:$N$500,MATCH($B41,precios!$A$3:$A$500,0))/$B$4,"")</f>
      </c>
      <c r="N41" s="11">
        <f>SUM(D41:M41)</f>
      </c>
    </row>
    <row r="42" spans="1:14" x14ac:dyDescent="0.25">
      <c r="A42" t="s">
        <v>311</v>
      </c>
      <c r="B42" t="s">
        <v>313</v>
      </c>
      <c r="C42">
        <f>INDEX(precios!$C$3:$C$500,MATCH($B42,precios!$A$3:$A$500,0))</f>
      </c>
      <c r="D42" s="11">
        <f>IF(INDEX(precios!$E$3:$E$500,MATCH($B42,precios!$A$3:$A$500,0))&gt;0,INDEX(precios!$E$3:$E$500,MATCH($B42,precios!$A$3:$A$500,0))/$B$4,"")</f>
      </c>
      <c r="E42" s="11">
        <f>IF(INDEX(precios!$F$3:$F$500,MATCH($B42,precios!$A$3:$A$500,0))&gt;0,INDEX(precios!$F$3:$F$500,MATCH($B42,precios!$A$3:$A$500,0))/$B$4,"")</f>
      </c>
      <c r="F42" s="11">
        <f>IF(INDEX(precios!$G$3:$G$500,MATCH($B42,precios!$A$3:$A$500,0))&gt;0,INDEX(precios!$G$3:$G$500,MATCH($B42,precios!$A$3:$A$500,0))/$B$4,"")</f>
      </c>
      <c r="G42" s="11">
        <f>IF(INDEX(precios!$H$3:$H$500,MATCH($B42,precios!$A$3:$A$500,0))&gt;0,INDEX(precios!$H$3:$H$500,MATCH($B42,precios!$A$3:$A$500,0))/$B$4,"")</f>
      </c>
      <c r="H42" s="11">
        <f>IF(INDEX(precios!$I$3:$I$500,MATCH($B42,precios!$A$3:$A$500,0))&gt;0,INDEX(precios!$I$3:$I$500,MATCH($B42,precios!$A$3:$A$500,0))/$B$4,"")</f>
      </c>
      <c r="I42" s="11">
        <f>IF(INDEX(precios!$J$3:$J$500,MATCH($B42,precios!$A$3:$A$500,0))&gt;0,INDEX(precios!$J$3:$J$500,MATCH($B42,precios!$A$3:$A$500,0))/$B$4,"")</f>
      </c>
      <c r="J42" s="11">
        <f>IF(INDEX(precios!$K$3:$K$500,MATCH($B42,precios!$A$3:$A$500,0))&gt;0,INDEX(precios!$K$3:$K$500,MATCH($B42,precios!$A$3:$A$500,0))/$B$4,"")</f>
      </c>
      <c r="K42" s="11">
        <f>IF(INDEX(precios!$L$3:$L$500,MATCH($B42,precios!$A$3:$A$500,0))&gt;0,INDEX(precios!$L$3:$L$500,MATCH($B42,precios!$A$3:$A$500,0))/$B$4,"")</f>
      </c>
      <c r="L42" s="11">
        <f>IF(INDEX(precios!$M$3:$M$500,MATCH($B42,precios!$A$3:$A$500,0))&gt;0,INDEX(precios!$M$3:$M$500,MATCH($B42,precios!$A$3:$A$500,0))/$B$4,"")</f>
      </c>
      <c r="M42" s="11">
        <f>IF(INDEX(precios!$N$3:$N$500,MATCH($B42,precios!$A$3:$A$500,0))&gt;0,INDEX(precios!$N$3:$N$500,MATCH($B42,precios!$A$3:$A$500,0))/$B$4,"")</f>
      </c>
      <c r="N42" s="11">
        <f>SUM(D42:M42)</f>
      </c>
    </row>
    <row r="43" spans="1:14" x14ac:dyDescent="0.25">
      <c r="A43" t="s">
        <v>311</v>
      </c>
      <c r="B43" t="s">
        <v>314</v>
      </c>
      <c r="C43">
        <f>INDEX(precios!$C$3:$C$500,MATCH($B43,precios!$A$3:$A$500,0))</f>
      </c>
      <c r="D43" s="11">
        <f>IF(INDEX(precios!$E$3:$E$500,MATCH($B43,precios!$A$3:$A$500,0))&gt;0,INDEX(precios!$E$3:$E$500,MATCH($B43,precios!$A$3:$A$500,0))/$B$4,"")</f>
      </c>
      <c r="E43" s="11">
        <f>IF(INDEX(precios!$F$3:$F$500,MATCH($B43,precios!$A$3:$A$500,0))&gt;0,INDEX(precios!$F$3:$F$500,MATCH($B43,precios!$A$3:$A$500,0))/$B$4,"")</f>
      </c>
      <c r="F43" s="11">
        <f>IF(INDEX(precios!$G$3:$G$500,MATCH($B43,precios!$A$3:$A$500,0))&gt;0,INDEX(precios!$G$3:$G$500,MATCH($B43,precios!$A$3:$A$500,0))/$B$4,"")</f>
      </c>
      <c r="G43" s="11">
        <f>IF(INDEX(precios!$H$3:$H$500,MATCH($B43,precios!$A$3:$A$500,0))&gt;0,INDEX(precios!$H$3:$H$500,MATCH($B43,precios!$A$3:$A$500,0))/$B$4,"")</f>
      </c>
      <c r="H43" s="11">
        <f>IF(INDEX(precios!$I$3:$I$500,MATCH($B43,precios!$A$3:$A$500,0))&gt;0,INDEX(precios!$I$3:$I$500,MATCH($B43,precios!$A$3:$A$500,0))/$B$4,"")</f>
      </c>
      <c r="I43" s="11">
        <f>IF(INDEX(precios!$J$3:$J$500,MATCH($B43,precios!$A$3:$A$500,0))&gt;0,INDEX(precios!$J$3:$J$500,MATCH($B43,precios!$A$3:$A$500,0))/$B$4,"")</f>
      </c>
      <c r="J43" s="11">
        <f>IF(INDEX(precios!$K$3:$K$500,MATCH($B43,precios!$A$3:$A$500,0))&gt;0,INDEX(precios!$K$3:$K$500,MATCH($B43,precios!$A$3:$A$500,0))/$B$4,"")</f>
      </c>
      <c r="K43" s="11">
        <f>IF(INDEX(precios!$L$3:$L$500,MATCH($B43,precios!$A$3:$A$500,0))&gt;0,INDEX(precios!$L$3:$L$500,MATCH($B43,precios!$A$3:$A$500,0))/$B$4,"")</f>
      </c>
      <c r="L43" s="11">
        <f>IF(INDEX(precios!$M$3:$M$500,MATCH($B43,precios!$A$3:$A$500,0))&gt;0,INDEX(precios!$M$3:$M$500,MATCH($B43,precios!$A$3:$A$500,0))/$B$4,"")</f>
      </c>
      <c r="M43" s="11">
        <f>IF(INDEX(precios!$N$3:$N$500,MATCH($B43,precios!$A$3:$A$500,0))&gt;0,INDEX(precios!$N$3:$N$500,MATCH($B43,precios!$A$3:$A$500,0))/$B$4,"")</f>
      </c>
      <c r="N43" s="11">
        <f>SUM(D43:M43)</f>
      </c>
    </row>
    <row r="44" spans="1:14" x14ac:dyDescent="0.25">
      <c r="A44" t="s">
        <v>311</v>
      </c>
      <c r="B44" t="s">
        <v>315</v>
      </c>
      <c r="C44">
        <f>INDEX(precios!$C$3:$C$500,MATCH($B44,precios!$A$3:$A$500,0))</f>
      </c>
      <c r="D44" s="11">
        <f>IF(INDEX(precios!$E$3:$E$500,MATCH($B44,precios!$A$3:$A$500,0))&gt;0,INDEX(precios!$E$3:$E$500,MATCH($B44,precios!$A$3:$A$500,0))/$B$4,"")</f>
      </c>
      <c r="E44" s="11">
        <f>IF(INDEX(precios!$F$3:$F$500,MATCH($B44,precios!$A$3:$A$500,0))&gt;0,INDEX(precios!$F$3:$F$500,MATCH($B44,precios!$A$3:$A$500,0))/$B$4,"")</f>
      </c>
      <c r="F44" s="11">
        <f>IF(INDEX(precios!$G$3:$G$500,MATCH($B44,precios!$A$3:$A$500,0))&gt;0,INDEX(precios!$G$3:$G$500,MATCH($B44,precios!$A$3:$A$500,0))/$B$4,"")</f>
      </c>
      <c r="G44" s="11">
        <f>IF(INDEX(precios!$H$3:$H$500,MATCH($B44,precios!$A$3:$A$500,0))&gt;0,INDEX(precios!$H$3:$H$500,MATCH($B44,precios!$A$3:$A$500,0))/$B$4,"")</f>
      </c>
      <c r="H44" s="11">
        <f>IF(INDEX(precios!$I$3:$I$500,MATCH($B44,precios!$A$3:$A$500,0))&gt;0,INDEX(precios!$I$3:$I$500,MATCH($B44,precios!$A$3:$A$500,0))/$B$4,"")</f>
      </c>
      <c r="I44" s="11">
        <f>IF(INDEX(precios!$J$3:$J$500,MATCH($B44,precios!$A$3:$A$500,0))&gt;0,INDEX(precios!$J$3:$J$500,MATCH($B44,precios!$A$3:$A$500,0))/$B$4,"")</f>
      </c>
      <c r="J44" s="11">
        <f>IF(INDEX(precios!$K$3:$K$500,MATCH($B44,precios!$A$3:$A$500,0))&gt;0,INDEX(precios!$K$3:$K$500,MATCH($B44,precios!$A$3:$A$500,0))/$B$4,"")</f>
      </c>
      <c r="K44" s="11">
        <f>IF(INDEX(precios!$L$3:$L$500,MATCH($B44,precios!$A$3:$A$500,0))&gt;0,INDEX(precios!$L$3:$L$500,MATCH($B44,precios!$A$3:$A$500,0))/$B$4,"")</f>
      </c>
      <c r="L44" s="11">
        <f>IF(INDEX(precios!$M$3:$M$500,MATCH($B44,precios!$A$3:$A$500,0))&gt;0,INDEX(precios!$M$3:$M$500,MATCH($B44,precios!$A$3:$A$500,0))/$B$4,"")</f>
      </c>
      <c r="M44" s="11">
        <f>IF(INDEX(precios!$N$3:$N$500,MATCH($B44,precios!$A$3:$A$500,0))&gt;0,INDEX(precios!$N$3:$N$500,MATCH($B44,precios!$A$3:$A$500,0))/$B$4,"")</f>
      </c>
      <c r="N44" s="11">
        <f>SUM(D44:M44)</f>
      </c>
    </row>
    <row r="45" spans="1:14" x14ac:dyDescent="0.25">
      <c r="A45" t="s">
        <v>311</v>
      </c>
      <c r="B45" t="s">
        <v>317</v>
      </c>
      <c r="C45">
        <f>INDEX(precios!$C$3:$C$500,MATCH($B45,precios!$A$3:$A$500,0))</f>
      </c>
      <c r="D45" s="11">
        <f>IF(INDEX(precios!$E$3:$E$500,MATCH($B45,precios!$A$3:$A$500,0))&gt;0,INDEX(precios!$E$3:$E$500,MATCH($B45,precios!$A$3:$A$500,0))/$B$4,"")</f>
      </c>
      <c r="E45" s="11">
        <f>IF(INDEX(precios!$F$3:$F$500,MATCH($B45,precios!$A$3:$A$500,0))&gt;0,INDEX(precios!$F$3:$F$500,MATCH($B45,precios!$A$3:$A$500,0))/$B$4,"")</f>
      </c>
      <c r="F45" s="11">
        <f>IF(INDEX(precios!$G$3:$G$500,MATCH($B45,precios!$A$3:$A$500,0))&gt;0,INDEX(precios!$G$3:$G$500,MATCH($B45,precios!$A$3:$A$500,0))/$B$4,"")</f>
      </c>
      <c r="G45" s="11">
        <f>IF(INDEX(precios!$H$3:$H$500,MATCH($B45,precios!$A$3:$A$500,0))&gt;0,INDEX(precios!$H$3:$H$500,MATCH($B45,precios!$A$3:$A$500,0))/$B$4,"")</f>
      </c>
      <c r="H45" s="11">
        <f>IF(INDEX(precios!$I$3:$I$500,MATCH($B45,precios!$A$3:$A$500,0))&gt;0,INDEX(precios!$I$3:$I$500,MATCH($B45,precios!$A$3:$A$500,0))/$B$4,"")</f>
      </c>
      <c r="I45" s="11">
        <f>IF(INDEX(precios!$J$3:$J$500,MATCH($B45,precios!$A$3:$A$500,0))&gt;0,INDEX(precios!$J$3:$J$500,MATCH($B45,precios!$A$3:$A$500,0))/$B$4,"")</f>
      </c>
      <c r="J45" s="11">
        <f>IF(INDEX(precios!$K$3:$K$500,MATCH($B45,precios!$A$3:$A$500,0))&gt;0,INDEX(precios!$K$3:$K$500,MATCH($B45,precios!$A$3:$A$500,0))/$B$4,"")</f>
      </c>
      <c r="K45" s="11">
        <f>IF(INDEX(precios!$L$3:$L$500,MATCH($B45,precios!$A$3:$A$500,0))&gt;0,INDEX(precios!$L$3:$L$500,MATCH($B45,precios!$A$3:$A$500,0))/$B$4,"")</f>
      </c>
      <c r="L45" s="11">
        <f>IF(INDEX(precios!$M$3:$M$500,MATCH($B45,precios!$A$3:$A$500,0))&gt;0,INDEX(precios!$M$3:$M$500,MATCH($B45,precios!$A$3:$A$500,0))/$B$4,"")</f>
      </c>
      <c r="M45" s="11">
        <f>IF(INDEX(precios!$N$3:$N$500,MATCH($B45,precios!$A$3:$A$500,0))&gt;0,INDEX(precios!$N$3:$N$500,MATCH($B45,precios!$A$3:$A$500,0))/$B$4,"")</f>
      </c>
      <c r="N45" s="11">
        <f>SUM(D45:M45)</f>
      </c>
    </row>
    <row r="46" spans="1:14" x14ac:dyDescent="0.25">
      <c r="A46" t="s">
        <v>311</v>
      </c>
      <c r="B46" t="s">
        <v>318</v>
      </c>
      <c r="C46">
        <f>INDEX(precios!$C$3:$C$500,MATCH($B46,precios!$A$3:$A$500,0))</f>
      </c>
      <c r="D46" s="11">
        <f>IF(INDEX(precios!$E$3:$E$500,MATCH($B46,precios!$A$3:$A$500,0))&gt;0,INDEX(precios!$E$3:$E$500,MATCH($B46,precios!$A$3:$A$500,0))/$B$4,"")</f>
      </c>
      <c r="E46" s="11">
        <f>IF(INDEX(precios!$F$3:$F$500,MATCH($B46,precios!$A$3:$A$500,0))&gt;0,INDEX(precios!$F$3:$F$500,MATCH($B46,precios!$A$3:$A$500,0))/$B$4,"")</f>
      </c>
      <c r="F46" s="11">
        <f>IF(INDEX(precios!$G$3:$G$500,MATCH($B46,precios!$A$3:$A$500,0))&gt;0,INDEX(precios!$G$3:$G$500,MATCH($B46,precios!$A$3:$A$500,0))/$B$4,"")</f>
      </c>
      <c r="G46" s="11">
        <f>IF(INDEX(precios!$H$3:$H$500,MATCH($B46,precios!$A$3:$A$500,0))&gt;0,INDEX(precios!$H$3:$H$500,MATCH($B46,precios!$A$3:$A$500,0))/$B$4,"")</f>
      </c>
      <c r="H46" s="11">
        <f>IF(INDEX(precios!$I$3:$I$500,MATCH($B46,precios!$A$3:$A$500,0))&gt;0,INDEX(precios!$I$3:$I$500,MATCH($B46,precios!$A$3:$A$500,0))/$B$4,"")</f>
      </c>
      <c r="I46" s="11">
        <f>IF(INDEX(precios!$J$3:$J$500,MATCH($B46,precios!$A$3:$A$500,0))&gt;0,INDEX(precios!$J$3:$J$500,MATCH($B46,precios!$A$3:$A$500,0))/$B$4,"")</f>
      </c>
      <c r="J46" s="11">
        <f>IF(INDEX(precios!$K$3:$K$500,MATCH($B46,precios!$A$3:$A$500,0))&gt;0,INDEX(precios!$K$3:$K$500,MATCH($B46,precios!$A$3:$A$500,0))/$B$4,"")</f>
      </c>
      <c r="K46" s="11">
        <f>IF(INDEX(precios!$L$3:$L$500,MATCH($B46,precios!$A$3:$A$500,0))&gt;0,INDEX(precios!$L$3:$L$500,MATCH($B46,precios!$A$3:$A$500,0))/$B$4,"")</f>
      </c>
      <c r="L46" s="11">
        <f>IF(INDEX(precios!$M$3:$M$500,MATCH($B46,precios!$A$3:$A$500,0))&gt;0,INDEX(precios!$M$3:$M$500,MATCH($B46,precios!$A$3:$A$500,0))/$B$4,"")</f>
      </c>
      <c r="M46" s="11">
        <f>IF(INDEX(precios!$N$3:$N$500,MATCH($B46,precios!$A$3:$A$500,0))&gt;0,INDEX(precios!$N$3:$N$500,MATCH($B46,precios!$A$3:$A$500,0))/$B$4,"")</f>
      </c>
      <c r="N46" s="11">
        <f>SUM(D46:M46)</f>
      </c>
    </row>
    <row r="47" spans="1:14" x14ac:dyDescent="0.25">
      <c r="A47" t="s">
        <v>311</v>
      </c>
      <c r="B47" t="s">
        <v>320</v>
      </c>
      <c r="C47">
        <f>INDEX(precios!$C$3:$C$500,MATCH($B47,precios!$A$3:$A$500,0))</f>
      </c>
      <c r="D47" s="11">
        <f>IF(INDEX(precios!$E$3:$E$500,MATCH($B47,precios!$A$3:$A$500,0))&gt;0,INDEX(precios!$E$3:$E$500,MATCH($B47,precios!$A$3:$A$500,0))/$B$4,"")</f>
      </c>
      <c r="E47" s="11">
        <f>IF(INDEX(precios!$F$3:$F$500,MATCH($B47,precios!$A$3:$A$500,0))&gt;0,INDEX(precios!$F$3:$F$500,MATCH($B47,precios!$A$3:$A$500,0))/$B$4,"")</f>
      </c>
      <c r="F47" s="11">
        <f>IF(INDEX(precios!$G$3:$G$500,MATCH($B47,precios!$A$3:$A$500,0))&gt;0,INDEX(precios!$G$3:$G$500,MATCH($B47,precios!$A$3:$A$500,0))/$B$4,"")</f>
      </c>
      <c r="G47" s="11">
        <f>IF(INDEX(precios!$H$3:$H$500,MATCH($B47,precios!$A$3:$A$500,0))&gt;0,INDEX(precios!$H$3:$H$500,MATCH($B47,precios!$A$3:$A$500,0))/$B$4,"")</f>
      </c>
      <c r="H47" s="11">
        <f>IF(INDEX(precios!$I$3:$I$500,MATCH($B47,precios!$A$3:$A$500,0))&gt;0,INDEX(precios!$I$3:$I$500,MATCH($B47,precios!$A$3:$A$500,0))/$B$4,"")</f>
      </c>
      <c r="I47" s="11">
        <f>IF(INDEX(precios!$J$3:$J$500,MATCH($B47,precios!$A$3:$A$500,0))&gt;0,INDEX(precios!$J$3:$J$500,MATCH($B47,precios!$A$3:$A$500,0))/$B$4,"")</f>
      </c>
      <c r="J47" s="11">
        <f>IF(INDEX(precios!$K$3:$K$500,MATCH($B47,precios!$A$3:$A$500,0))&gt;0,INDEX(precios!$K$3:$K$500,MATCH($B47,precios!$A$3:$A$500,0))/$B$4,"")</f>
      </c>
      <c r="K47" s="11">
        <f>IF(INDEX(precios!$L$3:$L$500,MATCH($B47,precios!$A$3:$A$500,0))&gt;0,INDEX(precios!$L$3:$L$500,MATCH($B47,precios!$A$3:$A$500,0))/$B$4,"")</f>
      </c>
      <c r="L47" s="11">
        <f>IF(INDEX(precios!$M$3:$M$500,MATCH($B47,precios!$A$3:$A$500,0))&gt;0,INDEX(precios!$M$3:$M$500,MATCH($B47,precios!$A$3:$A$500,0))/$B$4,"")</f>
      </c>
      <c r="M47" s="11">
        <f>IF(INDEX(precios!$N$3:$N$500,MATCH($B47,precios!$A$3:$A$500,0))&gt;0,INDEX(precios!$N$3:$N$500,MATCH($B47,precios!$A$3:$A$500,0))/$B$4,"")</f>
      </c>
      <c r="N47" s="11">
        <f>SUM(D47:M47)</f>
      </c>
    </row>
    <row r="48" spans="1:14" x14ac:dyDescent="0.25">
      <c r="A48" t="s">
        <v>311</v>
      </c>
      <c r="B48" t="s">
        <v>321</v>
      </c>
      <c r="C48">
        <f>INDEX(precios!$C$3:$C$500,MATCH($B48,precios!$A$3:$A$500,0))</f>
      </c>
      <c r="D48" s="11">
        <f>IF(INDEX(precios!$E$3:$E$500,MATCH($B48,precios!$A$3:$A$500,0))&gt;0,INDEX(precios!$E$3:$E$500,MATCH($B48,precios!$A$3:$A$500,0))/$B$4,"")</f>
      </c>
      <c r="E48" s="11">
        <f>IF(INDEX(precios!$F$3:$F$500,MATCH($B48,precios!$A$3:$A$500,0))&gt;0,INDEX(precios!$F$3:$F$500,MATCH($B48,precios!$A$3:$A$500,0))/$B$4,"")</f>
      </c>
      <c r="F48" s="11">
        <f>IF(INDEX(precios!$G$3:$G$500,MATCH($B48,precios!$A$3:$A$500,0))&gt;0,INDEX(precios!$G$3:$G$500,MATCH($B48,precios!$A$3:$A$500,0))/$B$4,"")</f>
      </c>
      <c r="G48" s="11">
        <f>IF(INDEX(precios!$H$3:$H$500,MATCH($B48,precios!$A$3:$A$500,0))&gt;0,INDEX(precios!$H$3:$H$500,MATCH($B48,precios!$A$3:$A$500,0))/$B$4,"")</f>
      </c>
      <c r="H48" s="11">
        <f>IF(INDEX(precios!$I$3:$I$500,MATCH($B48,precios!$A$3:$A$500,0))&gt;0,INDEX(precios!$I$3:$I$500,MATCH($B48,precios!$A$3:$A$500,0))/$B$4,"")</f>
      </c>
      <c r="I48" s="11">
        <f>IF(INDEX(precios!$J$3:$J$500,MATCH($B48,precios!$A$3:$A$500,0))&gt;0,INDEX(precios!$J$3:$J$500,MATCH($B48,precios!$A$3:$A$500,0))/$B$4,"")</f>
      </c>
      <c r="J48" s="11">
        <f>IF(INDEX(precios!$K$3:$K$500,MATCH($B48,precios!$A$3:$A$500,0))&gt;0,INDEX(precios!$K$3:$K$500,MATCH($B48,precios!$A$3:$A$500,0))/$B$4,"")</f>
      </c>
      <c r="K48" s="11">
        <f>IF(INDEX(precios!$L$3:$L$500,MATCH($B48,precios!$A$3:$A$500,0))&gt;0,INDEX(precios!$L$3:$L$500,MATCH($B48,precios!$A$3:$A$500,0))/$B$4,"")</f>
      </c>
      <c r="L48" s="11">
        <f>IF(INDEX(precios!$M$3:$M$500,MATCH($B48,precios!$A$3:$A$500,0))&gt;0,INDEX(precios!$M$3:$M$500,MATCH($B48,precios!$A$3:$A$500,0))/$B$4,"")</f>
      </c>
      <c r="M48" s="11">
        <f>IF(INDEX(precios!$N$3:$N$500,MATCH($B48,precios!$A$3:$A$500,0))&gt;0,INDEX(precios!$N$3:$N$500,MATCH($B48,precios!$A$3:$A$500,0))/$B$4,"")</f>
      </c>
      <c r="N48" s="11">
        <f>SUM(D48:M48)</f>
      </c>
    </row>
    <row r="49" spans="1:14" x14ac:dyDescent="0.25">
      <c r="A49" t="s">
        <v>311</v>
      </c>
      <c r="B49" t="s">
        <v>323</v>
      </c>
      <c r="C49">
        <f>INDEX(precios!$C$3:$C$500,MATCH($B49,precios!$A$3:$A$500,0))</f>
      </c>
      <c r="D49" s="11">
        <f>IF(INDEX(precios!$E$3:$E$500,MATCH($B49,precios!$A$3:$A$500,0))&gt;0,INDEX(precios!$E$3:$E$500,MATCH($B49,precios!$A$3:$A$500,0))/$B$4,"")</f>
      </c>
      <c r="E49" s="11">
        <f>IF(INDEX(precios!$F$3:$F$500,MATCH($B49,precios!$A$3:$A$500,0))&gt;0,INDEX(precios!$F$3:$F$500,MATCH($B49,precios!$A$3:$A$500,0))/$B$4,"")</f>
      </c>
      <c r="F49" s="11">
        <f>IF(INDEX(precios!$G$3:$G$500,MATCH($B49,precios!$A$3:$A$500,0))&gt;0,INDEX(precios!$G$3:$G$500,MATCH($B49,precios!$A$3:$A$500,0))/$B$4,"")</f>
      </c>
      <c r="G49" s="11">
        <f>IF(INDEX(precios!$H$3:$H$500,MATCH($B49,precios!$A$3:$A$500,0))&gt;0,INDEX(precios!$H$3:$H$500,MATCH($B49,precios!$A$3:$A$500,0))/$B$4,"")</f>
      </c>
      <c r="H49" s="11">
        <f>IF(INDEX(precios!$I$3:$I$500,MATCH($B49,precios!$A$3:$A$500,0))&gt;0,INDEX(precios!$I$3:$I$500,MATCH($B49,precios!$A$3:$A$500,0))/$B$4,"")</f>
      </c>
      <c r="I49" s="11">
        <f>IF(INDEX(precios!$J$3:$J$500,MATCH($B49,precios!$A$3:$A$500,0))&gt;0,INDEX(precios!$J$3:$J$500,MATCH($B49,precios!$A$3:$A$500,0))/$B$4,"")</f>
      </c>
      <c r="J49" s="11">
        <f>IF(INDEX(precios!$K$3:$K$500,MATCH($B49,precios!$A$3:$A$500,0))&gt;0,INDEX(precios!$K$3:$K$500,MATCH($B49,precios!$A$3:$A$500,0))/$B$4,"")</f>
      </c>
      <c r="K49" s="11">
        <f>IF(INDEX(precios!$L$3:$L$500,MATCH($B49,precios!$A$3:$A$500,0))&gt;0,INDEX(precios!$L$3:$L$500,MATCH($B49,precios!$A$3:$A$500,0))/$B$4,"")</f>
      </c>
      <c r="L49" s="11">
        <f>IF(INDEX(precios!$M$3:$M$500,MATCH($B49,precios!$A$3:$A$500,0))&gt;0,INDEX(precios!$M$3:$M$500,MATCH($B49,precios!$A$3:$A$500,0))/$B$4,"")</f>
      </c>
      <c r="M49" s="11">
        <f>IF(INDEX(precios!$N$3:$N$500,MATCH($B49,precios!$A$3:$A$500,0))&gt;0,INDEX(precios!$N$3:$N$500,MATCH($B49,precios!$A$3:$A$500,0))/$B$4,"")</f>
      </c>
      <c r="N49" s="11">
        <f>SUM(D49:M49)</f>
      </c>
    </row>
    <row r="50" spans="1:14" x14ac:dyDescent="0.25">
      <c r="A50" t="s">
        <v>311</v>
      </c>
      <c r="B50" t="s">
        <v>324</v>
      </c>
      <c r="C50">
        <f>INDEX(precios!$C$3:$C$500,MATCH($B50,precios!$A$3:$A$500,0))</f>
      </c>
      <c r="D50" s="11">
        <f>IF(INDEX(precios!$E$3:$E$500,MATCH($B50,precios!$A$3:$A$500,0))&gt;0,INDEX(precios!$E$3:$E$500,MATCH($B50,precios!$A$3:$A$500,0))/$B$4,"")</f>
      </c>
      <c r="E50" s="11">
        <f>IF(INDEX(precios!$F$3:$F$500,MATCH($B50,precios!$A$3:$A$500,0))&gt;0,INDEX(precios!$F$3:$F$500,MATCH($B50,precios!$A$3:$A$500,0))/$B$4,"")</f>
      </c>
      <c r="F50" s="11">
        <f>IF(INDEX(precios!$G$3:$G$500,MATCH($B50,precios!$A$3:$A$500,0))&gt;0,INDEX(precios!$G$3:$G$500,MATCH($B50,precios!$A$3:$A$500,0))/$B$4,"")</f>
      </c>
      <c r="G50" s="11">
        <f>IF(INDEX(precios!$H$3:$H$500,MATCH($B50,precios!$A$3:$A$500,0))&gt;0,INDEX(precios!$H$3:$H$500,MATCH($B50,precios!$A$3:$A$500,0))/$B$4,"")</f>
      </c>
      <c r="H50" s="11">
        <f>IF(INDEX(precios!$I$3:$I$500,MATCH($B50,precios!$A$3:$A$500,0))&gt;0,INDEX(precios!$I$3:$I$500,MATCH($B50,precios!$A$3:$A$500,0))/$B$4,"")</f>
      </c>
      <c r="I50" s="11">
        <f>IF(INDEX(precios!$J$3:$J$500,MATCH($B50,precios!$A$3:$A$500,0))&gt;0,INDEX(precios!$J$3:$J$500,MATCH($B50,precios!$A$3:$A$500,0))/$B$4,"")</f>
      </c>
      <c r="J50" s="11">
        <f>IF(INDEX(precios!$K$3:$K$500,MATCH($B50,precios!$A$3:$A$500,0))&gt;0,INDEX(precios!$K$3:$K$500,MATCH($B50,precios!$A$3:$A$500,0))/$B$4,"")</f>
      </c>
      <c r="K50" s="11">
        <f>IF(INDEX(precios!$L$3:$L$500,MATCH($B50,precios!$A$3:$A$500,0))&gt;0,INDEX(precios!$L$3:$L$500,MATCH($B50,precios!$A$3:$A$500,0))/$B$4,"")</f>
      </c>
      <c r="L50" s="11">
        <f>IF(INDEX(precios!$M$3:$M$500,MATCH($B50,precios!$A$3:$A$500,0))&gt;0,INDEX(precios!$M$3:$M$500,MATCH($B50,precios!$A$3:$A$500,0))/$B$4,"")</f>
      </c>
      <c r="M50" s="11">
        <f>IF(INDEX(precios!$N$3:$N$500,MATCH($B50,precios!$A$3:$A$500,0))&gt;0,INDEX(precios!$N$3:$N$500,MATCH($B50,precios!$A$3:$A$500,0))/$B$4,"")</f>
      </c>
      <c r="N50" s="11">
        <f>SUM(D50:M50)</f>
      </c>
    </row>
    <row r="51" spans="1:14" x14ac:dyDescent="0.25">
      <c r="A51" t="s">
        <v>311</v>
      </c>
      <c r="B51" t="s">
        <v>325</v>
      </c>
      <c r="C51">
        <f>INDEX(precios!$C$3:$C$500,MATCH($B51,precios!$A$3:$A$500,0))</f>
      </c>
      <c r="D51" s="11">
        <f>IF(INDEX(precios!$E$3:$E$500,MATCH($B51,precios!$A$3:$A$500,0))&gt;0,INDEX(precios!$E$3:$E$500,MATCH($B51,precios!$A$3:$A$500,0))/$B$4,"")</f>
      </c>
      <c r="E51" s="11">
        <f>IF(INDEX(precios!$F$3:$F$500,MATCH($B51,precios!$A$3:$A$500,0))&gt;0,INDEX(precios!$F$3:$F$500,MATCH($B51,precios!$A$3:$A$500,0))/$B$4,"")</f>
      </c>
      <c r="F51" s="11">
        <f>IF(INDEX(precios!$G$3:$G$500,MATCH($B51,precios!$A$3:$A$500,0))&gt;0,INDEX(precios!$G$3:$G$500,MATCH($B51,precios!$A$3:$A$500,0))/$B$4,"")</f>
      </c>
      <c r="G51" s="11">
        <f>IF(INDEX(precios!$H$3:$H$500,MATCH($B51,precios!$A$3:$A$500,0))&gt;0,INDEX(precios!$H$3:$H$500,MATCH($B51,precios!$A$3:$A$500,0))/$B$4,"")</f>
      </c>
      <c r="H51" s="11">
        <f>IF(INDEX(precios!$I$3:$I$500,MATCH($B51,precios!$A$3:$A$500,0))&gt;0,INDEX(precios!$I$3:$I$500,MATCH($B51,precios!$A$3:$A$500,0))/$B$4,"")</f>
      </c>
      <c r="I51" s="11">
        <f>IF(INDEX(precios!$J$3:$J$500,MATCH($B51,precios!$A$3:$A$500,0))&gt;0,INDEX(precios!$J$3:$J$500,MATCH($B51,precios!$A$3:$A$500,0))/$B$4,"")</f>
      </c>
      <c r="J51" s="11">
        <f>IF(INDEX(precios!$K$3:$K$500,MATCH($B51,precios!$A$3:$A$500,0))&gt;0,INDEX(precios!$K$3:$K$500,MATCH($B51,precios!$A$3:$A$500,0))/$B$4,"")</f>
      </c>
      <c r="K51" s="11">
        <f>IF(INDEX(precios!$L$3:$L$500,MATCH($B51,precios!$A$3:$A$500,0))&gt;0,INDEX(precios!$L$3:$L$500,MATCH($B51,precios!$A$3:$A$500,0))/$B$4,"")</f>
      </c>
      <c r="L51" s="11">
        <f>IF(INDEX(precios!$M$3:$M$500,MATCH($B51,precios!$A$3:$A$500,0))&gt;0,INDEX(precios!$M$3:$M$500,MATCH($B51,precios!$A$3:$A$500,0))/$B$4,"")</f>
      </c>
      <c r="M51" s="11">
        <f>IF(INDEX(precios!$N$3:$N$500,MATCH($B51,precios!$A$3:$A$500,0))&gt;0,INDEX(precios!$N$3:$N$500,MATCH($B51,precios!$A$3:$A$500,0))/$B$4,"")</f>
      </c>
      <c r="N51" s="11">
        <f>SUM(D51:M51)</f>
      </c>
    </row>
    <row r="52" spans="1:14" x14ac:dyDescent="0.25">
      <c r="A52" t="s">
        <v>281</v>
      </c>
      <c r="B52" t="s">
        <v>326</v>
      </c>
      <c r="C52">
        <f>INDEX(precios!$C$3:$C$500,MATCH($B52,precios!$A$3:$A$500,0))</f>
      </c>
      <c r="D52" s="11">
        <f>IF(INDEX(precios!$E$3:$E$500,MATCH($B52,precios!$A$3:$A$500,0))&gt;0,INDEX(precios!$E$3:$E$500,MATCH($B52,precios!$A$3:$A$500,0))/$B$4,"")</f>
      </c>
      <c r="E52" s="11">
        <f>IF(INDEX(precios!$F$3:$F$500,MATCH($B52,precios!$A$3:$A$500,0))&gt;0,INDEX(precios!$F$3:$F$500,MATCH($B52,precios!$A$3:$A$500,0))/$B$4,"")</f>
      </c>
      <c r="F52" s="11">
        <f>IF(INDEX(precios!$G$3:$G$500,MATCH($B52,precios!$A$3:$A$500,0))&gt;0,INDEX(precios!$G$3:$G$500,MATCH($B52,precios!$A$3:$A$500,0))/$B$4,"")</f>
      </c>
      <c r="G52" s="11">
        <f>IF(INDEX(precios!$H$3:$H$500,MATCH($B52,precios!$A$3:$A$500,0))&gt;0,INDEX(precios!$H$3:$H$500,MATCH($B52,precios!$A$3:$A$500,0))/$B$4,"")</f>
      </c>
      <c r="H52" s="11">
        <f>IF(INDEX(precios!$I$3:$I$500,MATCH($B52,precios!$A$3:$A$500,0))&gt;0,INDEX(precios!$I$3:$I$500,MATCH($B52,precios!$A$3:$A$500,0))/$B$4,"")</f>
      </c>
      <c r="I52" s="11">
        <f>IF(INDEX(precios!$J$3:$J$500,MATCH($B52,precios!$A$3:$A$500,0))&gt;0,INDEX(precios!$J$3:$J$500,MATCH($B52,precios!$A$3:$A$500,0))/$B$4,"")</f>
      </c>
      <c r="J52" s="11">
        <f>IF(INDEX(precios!$K$3:$K$500,MATCH($B52,precios!$A$3:$A$500,0))&gt;0,INDEX(precios!$K$3:$K$500,MATCH($B52,precios!$A$3:$A$500,0))/$B$4,"")</f>
      </c>
      <c r="K52" s="11">
        <f>IF(INDEX(precios!$L$3:$L$500,MATCH($B52,precios!$A$3:$A$500,0))&gt;0,INDEX(precios!$L$3:$L$500,MATCH($B52,precios!$A$3:$A$500,0))/$B$4,"")</f>
      </c>
      <c r="L52" s="11">
        <f>IF(INDEX(precios!$M$3:$M$500,MATCH($B52,precios!$A$3:$A$500,0))&gt;0,INDEX(precios!$M$3:$M$500,MATCH($B52,precios!$A$3:$A$500,0))/$B$4,"")</f>
      </c>
      <c r="M52" s="11">
        <f>IF(INDEX(precios!$N$3:$N$500,MATCH($B52,precios!$A$3:$A$500,0))&gt;0,INDEX(precios!$N$3:$N$500,MATCH($B52,precios!$A$3:$A$500,0))/$B$4,"")</f>
      </c>
      <c r="N52" s="11">
        <f>SUM(D52:M52)</f>
      </c>
    </row>
    <row r="53" spans="1:14" x14ac:dyDescent="0.25">
      <c r="A53" t="s">
        <v>281</v>
      </c>
      <c r="B53" t="s">
        <v>328</v>
      </c>
      <c r="C53">
        <f>INDEX(precios!$C$3:$C$500,MATCH($B53,precios!$A$3:$A$500,0))</f>
      </c>
      <c r="D53" s="11">
        <f>IF(INDEX(precios!$E$3:$E$500,MATCH($B53,precios!$A$3:$A$500,0))&gt;0,INDEX(precios!$E$3:$E$500,MATCH($B53,precios!$A$3:$A$500,0))/$B$4,"")</f>
      </c>
      <c r="E53" s="11">
        <f>IF(INDEX(precios!$F$3:$F$500,MATCH($B53,precios!$A$3:$A$500,0))&gt;0,INDEX(precios!$F$3:$F$500,MATCH($B53,precios!$A$3:$A$500,0))/$B$4,"")</f>
      </c>
      <c r="F53" s="11">
        <f>IF(INDEX(precios!$G$3:$G$500,MATCH($B53,precios!$A$3:$A$500,0))&gt;0,INDEX(precios!$G$3:$G$500,MATCH($B53,precios!$A$3:$A$500,0))/$B$4,"")</f>
      </c>
      <c r="G53" s="11">
        <f>IF(INDEX(precios!$H$3:$H$500,MATCH($B53,precios!$A$3:$A$500,0))&gt;0,INDEX(precios!$H$3:$H$500,MATCH($B53,precios!$A$3:$A$500,0))/$B$4,"")</f>
      </c>
      <c r="H53" s="11">
        <f>IF(INDEX(precios!$I$3:$I$500,MATCH($B53,precios!$A$3:$A$500,0))&gt;0,INDEX(precios!$I$3:$I$500,MATCH($B53,precios!$A$3:$A$500,0))/$B$4,"")</f>
      </c>
      <c r="I53" s="11">
        <f>IF(INDEX(precios!$J$3:$J$500,MATCH($B53,precios!$A$3:$A$500,0))&gt;0,INDEX(precios!$J$3:$J$500,MATCH($B53,precios!$A$3:$A$500,0))/$B$4,"")</f>
      </c>
      <c r="J53" s="11">
        <f>IF(INDEX(precios!$K$3:$K$500,MATCH($B53,precios!$A$3:$A$500,0))&gt;0,INDEX(precios!$K$3:$K$500,MATCH($B53,precios!$A$3:$A$500,0))/$B$4,"")</f>
      </c>
      <c r="K53" s="11">
        <f>IF(INDEX(precios!$L$3:$L$500,MATCH($B53,precios!$A$3:$A$500,0))&gt;0,INDEX(precios!$L$3:$L$500,MATCH($B53,precios!$A$3:$A$500,0))/$B$4,"")</f>
      </c>
      <c r="L53" s="11">
        <f>IF(INDEX(precios!$M$3:$M$500,MATCH($B53,precios!$A$3:$A$500,0))&gt;0,INDEX(precios!$M$3:$M$500,MATCH($B53,precios!$A$3:$A$500,0))/$B$4,"")</f>
      </c>
      <c r="M53" s="11">
        <f>IF(INDEX(precios!$N$3:$N$500,MATCH($B53,precios!$A$3:$A$500,0))&gt;0,INDEX(precios!$N$3:$N$500,MATCH($B53,precios!$A$3:$A$500,0))/$B$4,"")</f>
      </c>
      <c r="N53" s="11">
        <f>SUM(D53:M53)</f>
      </c>
    </row>
    <row r="54" spans="1:14" x14ac:dyDescent="0.25">
      <c r="A54" t="s">
        <v>281</v>
      </c>
      <c r="B54" t="s">
        <v>330</v>
      </c>
      <c r="C54">
        <f>INDEX(precios!$C$3:$C$500,MATCH($B54,precios!$A$3:$A$500,0))</f>
      </c>
      <c r="D54" s="11">
        <f>IF(INDEX(precios!$E$3:$E$500,MATCH($B54,precios!$A$3:$A$500,0))&gt;0,INDEX(precios!$E$3:$E$500,MATCH($B54,precios!$A$3:$A$500,0))/$B$4,"")</f>
      </c>
      <c r="E54" s="11">
        <f>IF(INDEX(precios!$F$3:$F$500,MATCH($B54,precios!$A$3:$A$500,0))&gt;0,INDEX(precios!$F$3:$F$500,MATCH($B54,precios!$A$3:$A$500,0))/$B$4,"")</f>
      </c>
      <c r="F54" s="11">
        <f>IF(INDEX(precios!$G$3:$G$500,MATCH($B54,precios!$A$3:$A$500,0))&gt;0,INDEX(precios!$G$3:$G$500,MATCH($B54,precios!$A$3:$A$500,0))/$B$4,"")</f>
      </c>
      <c r="G54" s="11">
        <f>IF(INDEX(precios!$H$3:$H$500,MATCH($B54,precios!$A$3:$A$500,0))&gt;0,INDEX(precios!$H$3:$H$500,MATCH($B54,precios!$A$3:$A$500,0))/$B$4,"")</f>
      </c>
      <c r="H54" s="11">
        <f>IF(INDEX(precios!$I$3:$I$500,MATCH($B54,precios!$A$3:$A$500,0))&gt;0,INDEX(precios!$I$3:$I$500,MATCH($B54,precios!$A$3:$A$500,0))/$B$4,"")</f>
      </c>
      <c r="I54" s="11">
        <f>IF(INDEX(precios!$J$3:$J$500,MATCH($B54,precios!$A$3:$A$500,0))&gt;0,INDEX(precios!$J$3:$J$500,MATCH($B54,precios!$A$3:$A$500,0))/$B$4,"")</f>
      </c>
      <c r="J54" s="11">
        <f>IF(INDEX(precios!$K$3:$K$500,MATCH($B54,precios!$A$3:$A$500,0))&gt;0,INDEX(precios!$K$3:$K$500,MATCH($B54,precios!$A$3:$A$500,0))/$B$4,"")</f>
      </c>
      <c r="K54" s="11">
        <f>IF(INDEX(precios!$L$3:$L$500,MATCH($B54,precios!$A$3:$A$500,0))&gt;0,INDEX(precios!$L$3:$L$500,MATCH($B54,precios!$A$3:$A$500,0))/$B$4,"")</f>
      </c>
      <c r="L54" s="11">
        <f>IF(INDEX(precios!$M$3:$M$500,MATCH($B54,precios!$A$3:$A$500,0))&gt;0,INDEX(precios!$M$3:$M$500,MATCH($B54,precios!$A$3:$A$500,0))/$B$4,"")</f>
      </c>
      <c r="M54" s="11">
        <f>IF(INDEX(precios!$N$3:$N$500,MATCH($B54,precios!$A$3:$A$500,0))&gt;0,INDEX(precios!$N$3:$N$500,MATCH($B54,precios!$A$3:$A$500,0))/$B$4,"")</f>
      </c>
      <c r="N54" s="11">
        <f>SUM(D54:M54)</f>
      </c>
    </row>
    <row r="55" spans="1:14" x14ac:dyDescent="0.25">
      <c r="A55" t="s">
        <v>281</v>
      </c>
      <c r="B55" t="s">
        <v>332</v>
      </c>
      <c r="C55">
        <f>INDEX(precios!$C$3:$C$500,MATCH($B55,precios!$A$3:$A$500,0))</f>
      </c>
      <c r="D55" s="11">
        <f>IF(INDEX(precios!$E$3:$E$500,MATCH($B55,precios!$A$3:$A$500,0))&gt;0,INDEX(precios!$E$3:$E$500,MATCH($B55,precios!$A$3:$A$500,0))/$B$4,"")</f>
      </c>
      <c r="E55" s="11">
        <f>IF(INDEX(precios!$F$3:$F$500,MATCH($B55,precios!$A$3:$A$500,0))&gt;0,INDEX(precios!$F$3:$F$500,MATCH($B55,precios!$A$3:$A$500,0))/$B$4,"")</f>
      </c>
      <c r="F55" s="11">
        <f>IF(INDEX(precios!$G$3:$G$500,MATCH($B55,precios!$A$3:$A$500,0))&gt;0,INDEX(precios!$G$3:$G$500,MATCH($B55,precios!$A$3:$A$500,0))/$B$4,"")</f>
      </c>
      <c r="G55" s="11">
        <f>IF(INDEX(precios!$H$3:$H$500,MATCH($B55,precios!$A$3:$A$500,0))&gt;0,INDEX(precios!$H$3:$H$500,MATCH($B55,precios!$A$3:$A$500,0))/$B$4,"")</f>
      </c>
      <c r="H55" s="11">
        <f>IF(INDEX(precios!$I$3:$I$500,MATCH($B55,precios!$A$3:$A$500,0))&gt;0,INDEX(precios!$I$3:$I$500,MATCH($B55,precios!$A$3:$A$500,0))/$B$4,"")</f>
      </c>
      <c r="I55" s="11">
        <f>IF(INDEX(precios!$J$3:$J$500,MATCH($B55,precios!$A$3:$A$500,0))&gt;0,INDEX(precios!$J$3:$J$500,MATCH($B55,precios!$A$3:$A$500,0))/$B$4,"")</f>
      </c>
      <c r="J55" s="11">
        <f>IF(INDEX(precios!$K$3:$K$500,MATCH($B55,precios!$A$3:$A$500,0))&gt;0,INDEX(precios!$K$3:$K$500,MATCH($B55,precios!$A$3:$A$500,0))/$B$4,"")</f>
      </c>
      <c r="K55" s="11">
        <f>IF(INDEX(precios!$L$3:$L$500,MATCH($B55,precios!$A$3:$A$500,0))&gt;0,INDEX(precios!$L$3:$L$500,MATCH($B55,precios!$A$3:$A$500,0))/$B$4,"")</f>
      </c>
      <c r="L55" s="11">
        <f>IF(INDEX(precios!$M$3:$M$500,MATCH($B55,precios!$A$3:$A$500,0))&gt;0,INDEX(precios!$M$3:$M$500,MATCH($B55,precios!$A$3:$A$500,0))/$B$4,"")</f>
      </c>
      <c r="M55" s="11">
        <f>IF(INDEX(precios!$N$3:$N$500,MATCH($B55,precios!$A$3:$A$500,0))&gt;0,INDEX(precios!$N$3:$N$500,MATCH($B55,precios!$A$3:$A$500,0))/$B$4,"")</f>
      </c>
      <c r="N55" s="11">
        <f>SUM(D55:M55)</f>
      </c>
    </row>
    <row r="56" spans="1:14" x14ac:dyDescent="0.25">
      <c r="A56" t="s">
        <v>281</v>
      </c>
      <c r="B56" t="s">
        <v>334</v>
      </c>
      <c r="C56">
        <f>INDEX(precios!$C$3:$C$500,MATCH($B56,precios!$A$3:$A$500,0))</f>
      </c>
      <c r="D56" s="11">
        <f>IF(INDEX(precios!$E$3:$E$500,MATCH($B56,precios!$A$3:$A$500,0))&gt;0,INDEX(precios!$E$3:$E$500,MATCH($B56,precios!$A$3:$A$500,0))/$B$4,"")</f>
      </c>
      <c r="E56" s="11">
        <f>IF(INDEX(precios!$F$3:$F$500,MATCH($B56,precios!$A$3:$A$500,0))&gt;0,INDEX(precios!$F$3:$F$500,MATCH($B56,precios!$A$3:$A$500,0))/$B$4,"")</f>
      </c>
      <c r="F56" s="11">
        <f>IF(INDEX(precios!$G$3:$G$500,MATCH($B56,precios!$A$3:$A$500,0))&gt;0,INDEX(precios!$G$3:$G$500,MATCH($B56,precios!$A$3:$A$500,0))/$B$4,"")</f>
      </c>
      <c r="G56" s="11">
        <f>IF(INDEX(precios!$H$3:$H$500,MATCH($B56,precios!$A$3:$A$500,0))&gt;0,INDEX(precios!$H$3:$H$500,MATCH($B56,precios!$A$3:$A$500,0))/$B$4,"")</f>
      </c>
      <c r="H56" s="11">
        <f>IF(INDEX(precios!$I$3:$I$500,MATCH($B56,precios!$A$3:$A$500,0))&gt;0,INDEX(precios!$I$3:$I$500,MATCH($B56,precios!$A$3:$A$500,0))/$B$4,"")</f>
      </c>
      <c r="I56" s="11">
        <f>IF(INDEX(precios!$J$3:$J$500,MATCH($B56,precios!$A$3:$A$500,0))&gt;0,INDEX(precios!$J$3:$J$500,MATCH($B56,precios!$A$3:$A$500,0))/$B$4,"")</f>
      </c>
      <c r="J56" s="11">
        <f>IF(INDEX(precios!$K$3:$K$500,MATCH($B56,precios!$A$3:$A$500,0))&gt;0,INDEX(precios!$K$3:$K$500,MATCH($B56,precios!$A$3:$A$500,0))/$B$4,"")</f>
      </c>
      <c r="K56" s="11">
        <f>IF(INDEX(precios!$L$3:$L$500,MATCH($B56,precios!$A$3:$A$500,0))&gt;0,INDEX(precios!$L$3:$L$500,MATCH($B56,precios!$A$3:$A$500,0))/$B$4,"")</f>
      </c>
      <c r="L56" s="11">
        <f>IF(INDEX(precios!$M$3:$M$500,MATCH($B56,precios!$A$3:$A$500,0))&gt;0,INDEX(precios!$M$3:$M$500,MATCH($B56,precios!$A$3:$A$500,0))/$B$4,"")</f>
      </c>
      <c r="M56" s="11">
        <f>IF(INDEX(precios!$N$3:$N$500,MATCH($B56,precios!$A$3:$A$500,0))&gt;0,INDEX(precios!$N$3:$N$500,MATCH($B56,precios!$A$3:$A$500,0))/$B$4,"")</f>
      </c>
      <c r="N56" s="11">
        <f>SUM(D56:M56)</f>
      </c>
    </row>
    <row r="57" spans="1:14" x14ac:dyDescent="0.25">
      <c r="A57" t="s">
        <v>281</v>
      </c>
      <c r="B57" t="s">
        <v>336</v>
      </c>
      <c r="C57">
        <f>INDEX(precios!$C$3:$C$500,MATCH($B57,precios!$A$3:$A$500,0))</f>
      </c>
      <c r="D57" s="11">
        <f>IF(INDEX(precios!$E$3:$E$500,MATCH($B57,precios!$A$3:$A$500,0))&gt;0,INDEX(precios!$E$3:$E$500,MATCH($B57,precios!$A$3:$A$500,0))/$B$4,"")</f>
      </c>
      <c r="E57" s="11">
        <f>IF(INDEX(precios!$F$3:$F$500,MATCH($B57,precios!$A$3:$A$500,0))&gt;0,INDEX(precios!$F$3:$F$500,MATCH($B57,precios!$A$3:$A$500,0))/$B$4,"")</f>
      </c>
      <c r="F57" s="11">
        <f>IF(INDEX(precios!$G$3:$G$500,MATCH($B57,precios!$A$3:$A$500,0))&gt;0,INDEX(precios!$G$3:$G$500,MATCH($B57,precios!$A$3:$A$500,0))/$B$4,"")</f>
      </c>
      <c r="G57" s="11">
        <f>IF(INDEX(precios!$H$3:$H$500,MATCH($B57,precios!$A$3:$A$500,0))&gt;0,INDEX(precios!$H$3:$H$500,MATCH($B57,precios!$A$3:$A$500,0))/$B$4,"")</f>
      </c>
      <c r="H57" s="11">
        <f>IF(INDEX(precios!$I$3:$I$500,MATCH($B57,precios!$A$3:$A$500,0))&gt;0,INDEX(precios!$I$3:$I$500,MATCH($B57,precios!$A$3:$A$500,0))/$B$4,"")</f>
      </c>
      <c r="I57" s="11">
        <f>IF(INDEX(precios!$J$3:$J$500,MATCH($B57,precios!$A$3:$A$500,0))&gt;0,INDEX(precios!$J$3:$J$500,MATCH($B57,precios!$A$3:$A$500,0))/$B$4,"")</f>
      </c>
      <c r="J57" s="11">
        <f>IF(INDEX(precios!$K$3:$K$500,MATCH($B57,precios!$A$3:$A$500,0))&gt;0,INDEX(precios!$K$3:$K$500,MATCH($B57,precios!$A$3:$A$500,0))/$B$4,"")</f>
      </c>
      <c r="K57" s="11">
        <f>IF(INDEX(precios!$L$3:$L$500,MATCH($B57,precios!$A$3:$A$500,0))&gt;0,INDEX(precios!$L$3:$L$500,MATCH($B57,precios!$A$3:$A$500,0))/$B$4,"")</f>
      </c>
      <c r="L57" s="11">
        <f>IF(INDEX(precios!$M$3:$M$500,MATCH($B57,precios!$A$3:$A$500,0))&gt;0,INDEX(precios!$M$3:$M$500,MATCH($B57,precios!$A$3:$A$500,0))/$B$4,"")</f>
      </c>
      <c r="M57" s="11">
        <f>IF(INDEX(precios!$N$3:$N$500,MATCH($B57,precios!$A$3:$A$500,0))&gt;0,INDEX(precios!$N$3:$N$500,MATCH($B57,precios!$A$3:$A$500,0))/$B$4,"")</f>
      </c>
      <c r="N57" s="11">
        <f>SUM(D57:M57)</f>
      </c>
    </row>
    <row r="58" spans="1:14" x14ac:dyDescent="0.25">
      <c r="A58" t="s">
        <v>281</v>
      </c>
      <c r="B58" t="s">
        <v>338</v>
      </c>
      <c r="C58">
        <f>INDEX(precios!$C$3:$C$500,MATCH($B58,precios!$A$3:$A$500,0))</f>
      </c>
      <c r="D58" s="11">
        <f>IF(INDEX(precios!$E$3:$E$500,MATCH($B58,precios!$A$3:$A$500,0))&gt;0,INDEX(precios!$E$3:$E$500,MATCH($B58,precios!$A$3:$A$500,0))/$B$4,"")</f>
      </c>
      <c r="E58" s="11">
        <f>IF(INDEX(precios!$F$3:$F$500,MATCH($B58,precios!$A$3:$A$500,0))&gt;0,INDEX(precios!$F$3:$F$500,MATCH($B58,precios!$A$3:$A$500,0))/$B$4,"")</f>
      </c>
      <c r="F58" s="11">
        <f>IF(INDEX(precios!$G$3:$G$500,MATCH($B58,precios!$A$3:$A$500,0))&gt;0,INDEX(precios!$G$3:$G$500,MATCH($B58,precios!$A$3:$A$500,0))/$B$4,"")</f>
      </c>
      <c r="G58" s="11">
        <f>IF(INDEX(precios!$H$3:$H$500,MATCH($B58,precios!$A$3:$A$500,0))&gt;0,INDEX(precios!$H$3:$H$500,MATCH($B58,precios!$A$3:$A$500,0))/$B$4,"")</f>
      </c>
      <c r="H58" s="11">
        <f>IF(INDEX(precios!$I$3:$I$500,MATCH($B58,precios!$A$3:$A$500,0))&gt;0,INDEX(precios!$I$3:$I$500,MATCH($B58,precios!$A$3:$A$500,0))/$B$4,"")</f>
      </c>
      <c r="I58" s="11">
        <f>IF(INDEX(precios!$J$3:$J$500,MATCH($B58,precios!$A$3:$A$500,0))&gt;0,INDEX(precios!$J$3:$J$500,MATCH($B58,precios!$A$3:$A$500,0))/$B$4,"")</f>
      </c>
      <c r="J58" s="11">
        <f>IF(INDEX(precios!$K$3:$K$500,MATCH($B58,precios!$A$3:$A$500,0))&gt;0,INDEX(precios!$K$3:$K$500,MATCH($B58,precios!$A$3:$A$500,0))/$B$4,"")</f>
      </c>
      <c r="K58" s="11">
        <f>IF(INDEX(precios!$L$3:$L$500,MATCH($B58,precios!$A$3:$A$500,0))&gt;0,INDEX(precios!$L$3:$L$500,MATCH($B58,precios!$A$3:$A$500,0))/$B$4,"")</f>
      </c>
      <c r="L58" s="11">
        <f>IF(INDEX(precios!$M$3:$M$500,MATCH($B58,precios!$A$3:$A$500,0))&gt;0,INDEX(precios!$M$3:$M$500,MATCH($B58,precios!$A$3:$A$500,0))/$B$4,"")</f>
      </c>
      <c r="M58" s="11">
        <f>IF(INDEX(precios!$N$3:$N$500,MATCH($B58,precios!$A$3:$A$500,0))&gt;0,INDEX(precios!$N$3:$N$500,MATCH($B58,precios!$A$3:$A$500,0))/$B$4,"")</f>
      </c>
      <c r="N58" s="11">
        <f>SUM(D58:M58)</f>
      </c>
    </row>
    <row r="59" spans="1:14" x14ac:dyDescent="0.25">
      <c r="A59" t="s">
        <v>281</v>
      </c>
      <c r="B59" t="s">
        <v>340</v>
      </c>
      <c r="C59">
        <f>INDEX(precios!$C$3:$C$500,MATCH($B59,precios!$A$3:$A$500,0))</f>
      </c>
      <c r="D59" s="11">
        <f>IF(INDEX(precios!$E$3:$E$500,MATCH($B59,precios!$A$3:$A$500,0))&gt;0,INDEX(precios!$E$3:$E$500,MATCH($B59,precios!$A$3:$A$500,0))/$B$4,"")</f>
      </c>
      <c r="E59" s="11">
        <f>IF(INDEX(precios!$F$3:$F$500,MATCH($B59,precios!$A$3:$A$500,0))&gt;0,INDEX(precios!$F$3:$F$500,MATCH($B59,precios!$A$3:$A$500,0))/$B$4,"")</f>
      </c>
      <c r="F59" s="11">
        <f>IF(INDEX(precios!$G$3:$G$500,MATCH($B59,precios!$A$3:$A$500,0))&gt;0,INDEX(precios!$G$3:$G$500,MATCH($B59,precios!$A$3:$A$500,0))/$B$4,"")</f>
      </c>
      <c r="G59" s="11">
        <f>IF(INDEX(precios!$H$3:$H$500,MATCH($B59,precios!$A$3:$A$500,0))&gt;0,INDEX(precios!$H$3:$H$500,MATCH($B59,precios!$A$3:$A$500,0))/$B$4,"")</f>
      </c>
      <c r="H59" s="11">
        <f>IF(INDEX(precios!$I$3:$I$500,MATCH($B59,precios!$A$3:$A$500,0))&gt;0,INDEX(precios!$I$3:$I$500,MATCH($B59,precios!$A$3:$A$500,0))/$B$4,"")</f>
      </c>
      <c r="I59" s="11">
        <f>IF(INDEX(precios!$J$3:$J$500,MATCH($B59,precios!$A$3:$A$500,0))&gt;0,INDEX(precios!$J$3:$J$500,MATCH($B59,precios!$A$3:$A$500,0))/$B$4,"")</f>
      </c>
      <c r="J59" s="11">
        <f>IF(INDEX(precios!$K$3:$K$500,MATCH($B59,precios!$A$3:$A$500,0))&gt;0,INDEX(precios!$K$3:$K$500,MATCH($B59,precios!$A$3:$A$500,0))/$B$4,"")</f>
      </c>
      <c r="K59" s="11">
        <f>IF(INDEX(precios!$L$3:$L$500,MATCH($B59,precios!$A$3:$A$500,0))&gt;0,INDEX(precios!$L$3:$L$500,MATCH($B59,precios!$A$3:$A$500,0))/$B$4,"")</f>
      </c>
      <c r="L59" s="11">
        <f>IF(INDEX(precios!$M$3:$M$500,MATCH($B59,precios!$A$3:$A$500,0))&gt;0,INDEX(precios!$M$3:$M$500,MATCH($B59,precios!$A$3:$A$500,0))/$B$4,"")</f>
      </c>
      <c r="M59" s="11">
        <f>IF(INDEX(precios!$N$3:$N$500,MATCH($B59,precios!$A$3:$A$500,0))&gt;0,INDEX(precios!$N$3:$N$500,MATCH($B59,precios!$A$3:$A$500,0))/$B$4,"")</f>
      </c>
      <c r="N59" s="11">
        <f>SUM(D59:M59)</f>
      </c>
    </row>
    <row r="60" spans="1:14" x14ac:dyDescent="0.25">
      <c r="A60" t="s">
        <v>281</v>
      </c>
      <c r="B60" t="s">
        <v>342</v>
      </c>
      <c r="C60">
        <f>INDEX(precios!$C$3:$C$500,MATCH($B60,precios!$A$3:$A$500,0))</f>
      </c>
      <c r="D60" s="11">
        <f>IF(INDEX(precios!$E$3:$E$500,MATCH($B60,precios!$A$3:$A$500,0))&gt;0,INDEX(precios!$E$3:$E$500,MATCH($B60,precios!$A$3:$A$500,0))/$B$4,"")</f>
      </c>
      <c r="E60" s="11">
        <f>IF(INDEX(precios!$F$3:$F$500,MATCH($B60,precios!$A$3:$A$500,0))&gt;0,INDEX(precios!$F$3:$F$500,MATCH($B60,precios!$A$3:$A$500,0))/$B$4,"")</f>
      </c>
      <c r="F60" s="11">
        <f>IF(INDEX(precios!$G$3:$G$500,MATCH($B60,precios!$A$3:$A$500,0))&gt;0,INDEX(precios!$G$3:$G$500,MATCH($B60,precios!$A$3:$A$500,0))/$B$4,"")</f>
      </c>
      <c r="G60" s="11">
        <f>IF(INDEX(precios!$H$3:$H$500,MATCH($B60,precios!$A$3:$A$500,0))&gt;0,INDEX(precios!$H$3:$H$500,MATCH($B60,precios!$A$3:$A$500,0))/$B$4,"")</f>
      </c>
      <c r="H60" s="11">
        <f>IF(INDEX(precios!$I$3:$I$500,MATCH($B60,precios!$A$3:$A$500,0))&gt;0,INDEX(precios!$I$3:$I$500,MATCH($B60,precios!$A$3:$A$500,0))/$B$4,"")</f>
      </c>
      <c r="I60" s="11">
        <f>IF(INDEX(precios!$J$3:$J$500,MATCH($B60,precios!$A$3:$A$500,0))&gt;0,INDEX(precios!$J$3:$J$500,MATCH($B60,precios!$A$3:$A$500,0))/$B$4,"")</f>
      </c>
      <c r="J60" s="11">
        <f>IF(INDEX(precios!$K$3:$K$500,MATCH($B60,precios!$A$3:$A$500,0))&gt;0,INDEX(precios!$K$3:$K$500,MATCH($B60,precios!$A$3:$A$500,0))/$B$4,"")</f>
      </c>
      <c r="K60" s="11">
        <f>IF(INDEX(precios!$L$3:$L$500,MATCH($B60,precios!$A$3:$A$500,0))&gt;0,INDEX(precios!$L$3:$L$500,MATCH($B60,precios!$A$3:$A$500,0))/$B$4,"")</f>
      </c>
      <c r="L60" s="11">
        <f>IF(INDEX(precios!$M$3:$M$500,MATCH($B60,precios!$A$3:$A$500,0))&gt;0,INDEX(precios!$M$3:$M$500,MATCH($B60,precios!$A$3:$A$500,0))/$B$4,"")</f>
      </c>
      <c r="M60" s="11">
        <f>IF(INDEX(precios!$N$3:$N$500,MATCH($B60,precios!$A$3:$A$500,0))&gt;0,INDEX(precios!$N$3:$N$500,MATCH($B60,precios!$A$3:$A$500,0))/$B$4,"")</f>
      </c>
      <c r="N60" s="11">
        <f>SUM(D60:M60)</f>
      </c>
    </row>
    <row r="61" spans="1:14" x14ac:dyDescent="0.25">
      <c r="A61" t="s">
        <v>281</v>
      </c>
      <c r="B61" t="s">
        <v>344</v>
      </c>
      <c r="C61">
        <f>INDEX(precios!$C$3:$C$500,MATCH($B61,precios!$A$3:$A$500,0))</f>
      </c>
      <c r="D61" s="11">
        <f>IF(INDEX(precios!$E$3:$E$500,MATCH($B61,precios!$A$3:$A$500,0))&gt;0,INDEX(precios!$E$3:$E$500,MATCH($B61,precios!$A$3:$A$500,0))/$B$4,"")</f>
      </c>
      <c r="E61" s="11">
        <f>IF(INDEX(precios!$F$3:$F$500,MATCH($B61,precios!$A$3:$A$500,0))&gt;0,INDEX(precios!$F$3:$F$500,MATCH($B61,precios!$A$3:$A$500,0))/$B$4,"")</f>
      </c>
      <c r="F61" s="11">
        <f>IF(INDEX(precios!$G$3:$G$500,MATCH($B61,precios!$A$3:$A$500,0))&gt;0,INDEX(precios!$G$3:$G$500,MATCH($B61,precios!$A$3:$A$500,0))/$B$4,"")</f>
      </c>
      <c r="G61" s="11">
        <f>IF(INDEX(precios!$H$3:$H$500,MATCH($B61,precios!$A$3:$A$500,0))&gt;0,INDEX(precios!$H$3:$H$500,MATCH($B61,precios!$A$3:$A$500,0))/$B$4,"")</f>
      </c>
      <c r="H61" s="11">
        <f>IF(INDEX(precios!$I$3:$I$500,MATCH($B61,precios!$A$3:$A$500,0))&gt;0,INDEX(precios!$I$3:$I$500,MATCH($B61,precios!$A$3:$A$500,0))/$B$4,"")</f>
      </c>
      <c r="I61" s="11">
        <f>IF(INDEX(precios!$J$3:$J$500,MATCH($B61,precios!$A$3:$A$500,0))&gt;0,INDEX(precios!$J$3:$J$500,MATCH($B61,precios!$A$3:$A$500,0))/$B$4,"")</f>
      </c>
      <c r="J61" s="11">
        <f>IF(INDEX(precios!$K$3:$K$500,MATCH($B61,precios!$A$3:$A$500,0))&gt;0,INDEX(precios!$K$3:$K$500,MATCH($B61,precios!$A$3:$A$500,0))/$B$4,"")</f>
      </c>
      <c r="K61" s="11">
        <f>IF(INDEX(precios!$L$3:$L$500,MATCH($B61,precios!$A$3:$A$500,0))&gt;0,INDEX(precios!$L$3:$L$500,MATCH($B61,precios!$A$3:$A$500,0))/$B$4,"")</f>
      </c>
      <c r="L61" s="11">
        <f>IF(INDEX(precios!$M$3:$M$500,MATCH($B61,precios!$A$3:$A$500,0))&gt;0,INDEX(precios!$M$3:$M$500,MATCH($B61,precios!$A$3:$A$500,0))/$B$4,"")</f>
      </c>
      <c r="M61" s="11">
        <f>IF(INDEX(precios!$N$3:$N$500,MATCH($B61,precios!$A$3:$A$500,0))&gt;0,INDEX(precios!$N$3:$N$500,MATCH($B61,precios!$A$3:$A$500,0))/$B$4,"")</f>
      </c>
      <c r="N61" s="11">
        <f>SUM(D61:M61)</f>
      </c>
    </row>
    <row r="62" spans="1:14" x14ac:dyDescent="0.25">
      <c r="A62" t="s">
        <v>281</v>
      </c>
      <c r="B62" t="s">
        <v>346</v>
      </c>
      <c r="C62">
        <f>INDEX(precios!$C$3:$C$500,MATCH($B62,precios!$A$3:$A$500,0))</f>
      </c>
      <c r="D62" s="11">
        <f>IF(INDEX(precios!$E$3:$E$500,MATCH($B62,precios!$A$3:$A$500,0))&gt;0,INDEX(precios!$E$3:$E$500,MATCH($B62,precios!$A$3:$A$500,0))/$B$4,"")</f>
      </c>
      <c r="E62" s="11">
        <f>IF(INDEX(precios!$F$3:$F$500,MATCH($B62,precios!$A$3:$A$500,0))&gt;0,INDEX(precios!$F$3:$F$500,MATCH($B62,precios!$A$3:$A$500,0))/$B$4,"")</f>
      </c>
      <c r="F62" s="11">
        <f>IF(INDEX(precios!$G$3:$G$500,MATCH($B62,precios!$A$3:$A$500,0))&gt;0,INDEX(precios!$G$3:$G$500,MATCH($B62,precios!$A$3:$A$500,0))/$B$4,"")</f>
      </c>
      <c r="G62" s="11">
        <f>IF(INDEX(precios!$H$3:$H$500,MATCH($B62,precios!$A$3:$A$500,0))&gt;0,INDEX(precios!$H$3:$H$500,MATCH($B62,precios!$A$3:$A$500,0))/$B$4,"")</f>
      </c>
      <c r="H62" s="11">
        <f>IF(INDEX(precios!$I$3:$I$500,MATCH($B62,precios!$A$3:$A$500,0))&gt;0,INDEX(precios!$I$3:$I$500,MATCH($B62,precios!$A$3:$A$500,0))/$B$4,"")</f>
      </c>
      <c r="I62" s="11">
        <f>IF(INDEX(precios!$J$3:$J$500,MATCH($B62,precios!$A$3:$A$500,0))&gt;0,INDEX(precios!$J$3:$J$500,MATCH($B62,precios!$A$3:$A$500,0))/$B$4,"")</f>
      </c>
      <c r="J62" s="11">
        <f>IF(INDEX(precios!$K$3:$K$500,MATCH($B62,precios!$A$3:$A$500,0))&gt;0,INDEX(precios!$K$3:$K$500,MATCH($B62,precios!$A$3:$A$500,0))/$B$4,"")</f>
      </c>
      <c r="K62" s="11">
        <f>IF(INDEX(precios!$L$3:$L$500,MATCH($B62,precios!$A$3:$A$500,0))&gt;0,INDEX(precios!$L$3:$L$500,MATCH($B62,precios!$A$3:$A$500,0))/$B$4,"")</f>
      </c>
      <c r="L62" s="11">
        <f>IF(INDEX(precios!$M$3:$M$500,MATCH($B62,precios!$A$3:$A$500,0))&gt;0,INDEX(precios!$M$3:$M$500,MATCH($B62,precios!$A$3:$A$500,0))/$B$4,"")</f>
      </c>
      <c r="M62" s="11">
        <f>IF(INDEX(precios!$N$3:$N$500,MATCH($B62,precios!$A$3:$A$500,0))&gt;0,INDEX(precios!$N$3:$N$500,MATCH($B62,precios!$A$3:$A$500,0))/$B$4,"")</f>
      </c>
      <c r="N62" s="11">
        <f>SUM(D62:M62)</f>
      </c>
    </row>
    <row r="63" spans="1:14" x14ac:dyDescent="0.25">
      <c r="A63" t="s">
        <v>281</v>
      </c>
      <c r="B63" t="s">
        <v>348</v>
      </c>
      <c r="C63">
        <f>INDEX(precios!$C$3:$C$500,MATCH($B63,precios!$A$3:$A$500,0))</f>
      </c>
      <c r="D63" s="11">
        <f>IF(INDEX(precios!$E$3:$E$500,MATCH($B63,precios!$A$3:$A$500,0))&gt;0,INDEX(precios!$E$3:$E$500,MATCH($B63,precios!$A$3:$A$500,0))/$B$4,"")</f>
      </c>
      <c r="E63" s="11">
        <f>IF(INDEX(precios!$F$3:$F$500,MATCH($B63,precios!$A$3:$A$500,0))&gt;0,INDEX(precios!$F$3:$F$500,MATCH($B63,precios!$A$3:$A$500,0))/$B$4,"")</f>
      </c>
      <c r="F63" s="11">
        <f>IF(INDEX(precios!$G$3:$G$500,MATCH($B63,precios!$A$3:$A$500,0))&gt;0,INDEX(precios!$G$3:$G$500,MATCH($B63,precios!$A$3:$A$500,0))/$B$4,"")</f>
      </c>
      <c r="G63" s="11">
        <f>IF(INDEX(precios!$H$3:$H$500,MATCH($B63,precios!$A$3:$A$500,0))&gt;0,INDEX(precios!$H$3:$H$500,MATCH($B63,precios!$A$3:$A$500,0))/$B$4,"")</f>
      </c>
      <c r="H63" s="11">
        <f>IF(INDEX(precios!$I$3:$I$500,MATCH($B63,precios!$A$3:$A$500,0))&gt;0,INDEX(precios!$I$3:$I$500,MATCH($B63,precios!$A$3:$A$500,0))/$B$4,"")</f>
      </c>
      <c r="I63" s="11">
        <f>IF(INDEX(precios!$J$3:$J$500,MATCH($B63,precios!$A$3:$A$500,0))&gt;0,INDEX(precios!$J$3:$J$500,MATCH($B63,precios!$A$3:$A$500,0))/$B$4,"")</f>
      </c>
      <c r="J63" s="11">
        <f>IF(INDEX(precios!$K$3:$K$500,MATCH($B63,precios!$A$3:$A$500,0))&gt;0,INDEX(precios!$K$3:$K$500,MATCH($B63,precios!$A$3:$A$500,0))/$B$4,"")</f>
      </c>
      <c r="K63" s="11">
        <f>IF(INDEX(precios!$L$3:$L$500,MATCH($B63,precios!$A$3:$A$500,0))&gt;0,INDEX(precios!$L$3:$L$500,MATCH($B63,precios!$A$3:$A$500,0))/$B$4,"")</f>
      </c>
      <c r="L63" s="11">
        <f>IF(INDEX(precios!$M$3:$M$500,MATCH($B63,precios!$A$3:$A$500,0))&gt;0,INDEX(precios!$M$3:$M$500,MATCH($B63,precios!$A$3:$A$500,0))/$B$4,"")</f>
      </c>
      <c r="M63" s="11">
        <f>IF(INDEX(precios!$N$3:$N$500,MATCH($B63,precios!$A$3:$A$500,0))&gt;0,INDEX(precios!$N$3:$N$500,MATCH($B63,precios!$A$3:$A$500,0))/$B$4,"")</f>
      </c>
      <c r="N63" s="11">
        <f>SUM(D63:M63)</f>
      </c>
    </row>
    <row r="64" spans="1:14" x14ac:dyDescent="0.25">
      <c r="A64" t="s">
        <v>965</v>
      </c>
      <c r="B64" t="s">
        <v>177</v>
      </c>
      <c r="C64">
        <f>INDEX(autos!$B$3:$B$500,MATCH($B64,autos!$A$3:$A$500,0))</f>
      </c>
      <c r="D64" s="11">
        <f>IF(INDEX(autos!$C$3:$C$500,MATCH($B64,autos!$A$3:$A$500,0))&gt;0,INDEX(autos!$C$3:$C$500,MATCH($B64,autos!$A$3:$A$500,0))/$B$4,"")</f>
      </c>
      <c r="N64" s="11">
        <f>SUM(D64:M64)</f>
      </c>
    </row>
    <row r="65" spans="1:14" x14ac:dyDescent="0.25">
      <c r="A65" t="s">
        <v>965</v>
      </c>
      <c r="B65" t="s">
        <v>179</v>
      </c>
      <c r="C65">
        <f>INDEX(autos!$B$3:$B$500,MATCH($B65,autos!$A$3:$A$500,0))</f>
      </c>
      <c r="D65" s="11">
        <f>IF(INDEX(autos!$C$3:$C$500,MATCH($B65,autos!$A$3:$A$500,0))&gt;0,INDEX(autos!$C$3:$C$500,MATCH($B65,autos!$A$3:$A$500,0))/$B$4,"")</f>
      </c>
      <c r="N65" s="11">
        <f>SUM(D65:M65)</f>
      </c>
    </row>
    <row r="66" spans="1:14" x14ac:dyDescent="0.25">
      <c r="A66" t="s">
        <v>965</v>
      </c>
      <c r="B66" t="s">
        <v>181</v>
      </c>
      <c r="C66">
        <f>INDEX(autos!$B$3:$B$500,MATCH($B66,autos!$A$3:$A$500,0))</f>
      </c>
      <c r="D66" s="11">
        <f>IF(INDEX(autos!$C$3:$C$500,MATCH($B66,autos!$A$3:$A$500,0))&gt;0,INDEX(autos!$C$3:$C$500,MATCH($B66,autos!$A$3:$A$500,0))/$B$4,"")</f>
      </c>
      <c r="N66" s="11">
        <f>SUM(D66:M66)</f>
      </c>
    </row>
    <row r="67" spans="1:14" x14ac:dyDescent="0.25">
      <c r="A67" t="s">
        <v>965</v>
      </c>
      <c r="B67" t="s">
        <v>183</v>
      </c>
      <c r="C67">
        <f>INDEX(autos!$B$3:$B$500,MATCH($B67,autos!$A$3:$A$500,0))</f>
      </c>
      <c r="D67" s="11">
        <f>IF(INDEX(autos!$C$3:$C$500,MATCH($B67,autos!$A$3:$A$500,0))&gt;0,INDEX(autos!$C$3:$C$500,MATCH($B67,autos!$A$3:$A$500,0))/$B$4,"")</f>
      </c>
      <c r="N67" s="11">
        <f>SUM(D67:M67)</f>
      </c>
    </row>
    <row r="68" spans="1:14" x14ac:dyDescent="0.25">
      <c r="A68" t="s">
        <v>965</v>
      </c>
      <c r="B68" t="s">
        <v>185</v>
      </c>
      <c r="C68">
        <f>INDEX(autos!$B$3:$B$500,MATCH($B68,autos!$A$3:$A$500,0))</f>
      </c>
      <c r="D68" s="11">
        <f>IF(INDEX(autos!$C$3:$C$500,MATCH($B68,autos!$A$3:$A$500,0))&gt;0,INDEX(autos!$C$3:$C$500,MATCH($B68,autos!$A$3:$A$500,0))/$B$4,"")</f>
      </c>
      <c r="N68" s="11">
        <f>SUM(D68:M68)</f>
      </c>
    </row>
    <row r="69" spans="1:14" x14ac:dyDescent="0.25">
      <c r="A69" t="s">
        <v>965</v>
      </c>
      <c r="B69" t="s">
        <v>187</v>
      </c>
      <c r="C69">
        <f>INDEX(autos!$B$3:$B$500,MATCH($B69,autos!$A$3:$A$500,0))</f>
      </c>
      <c r="D69" s="11">
        <f>IF(INDEX(autos!$C$3:$C$500,MATCH($B69,autos!$A$3:$A$500,0))&gt;0,INDEX(autos!$C$3:$C$500,MATCH($B69,autos!$A$3:$A$500,0))/$B$4,"")</f>
      </c>
      <c r="N69" s="11">
        <f>SUM(D69:M69)</f>
      </c>
    </row>
    <row r="70" spans="1:14" x14ac:dyDescent="0.25">
      <c r="A70" t="s">
        <v>965</v>
      </c>
      <c r="B70" t="s">
        <v>133</v>
      </c>
      <c r="C70">
        <f>INDEX(autos!$B$3:$B$500,MATCH($B70,autos!$A$3:$A$500,0))</f>
      </c>
      <c r="D70" s="11">
        <f>IF(INDEX(autos!$C$3:$C$500,MATCH($B70,autos!$A$3:$A$500,0))&gt;0,INDEX(autos!$C$3:$C$500,MATCH($B70,autos!$A$3:$A$500,0))/$B$4,"")</f>
      </c>
      <c r="N70" s="11">
        <f>SUM(D70:M70)</f>
      </c>
    </row>
    <row r="71" spans="1:14" x14ac:dyDescent="0.25">
      <c r="A71" t="s">
        <v>965</v>
      </c>
      <c r="B71" t="s">
        <v>190</v>
      </c>
      <c r="C71">
        <f>INDEX(autos!$B$3:$B$500,MATCH($B71,autos!$A$3:$A$500,0))</f>
      </c>
      <c r="D71" s="11">
        <f>IF(INDEX(autos!$C$3:$C$500,MATCH($B71,autos!$A$3:$A$500,0))&gt;0,INDEX(autos!$C$3:$C$500,MATCH($B71,autos!$A$3:$A$500,0))/$B$4,"")</f>
      </c>
      <c r="N71" s="11">
        <f>SUM(D71:M71)</f>
      </c>
    </row>
    <row r="72" spans="1:14" x14ac:dyDescent="0.25">
      <c r="A72" t="s">
        <v>966</v>
      </c>
      <c r="B72" t="s">
        <v>215</v>
      </c>
      <c r="C72">
        <f>INDEX(pilotos!$B$3:$B$500,MATCH($B72,pilotos!$A$3:$A$500,0))</f>
      </c>
      <c r="D72" s="11">
        <f>IF(INDEX(pilotos!$C$3:$C$500,MATCH($B72,pilotos!$A$3:$A$500,0))&gt;0,INDEX(pilotos!$C$3:$C$500,MATCH($B72,pilotos!$A$3:$A$500,0))/$B$4,"")</f>
      </c>
      <c r="N72" s="11">
        <f>SUM(D72:M72)</f>
      </c>
    </row>
    <row r="73" spans="1:14" x14ac:dyDescent="0.25">
      <c r="A73" t="s">
        <v>966</v>
      </c>
      <c r="B73" t="s">
        <v>217</v>
      </c>
      <c r="C73">
        <f>INDEX(pilotos!$B$3:$B$500,MATCH($B73,pilotos!$A$3:$A$500,0))</f>
      </c>
      <c r="D73" s="11">
        <f>IF(INDEX(pilotos!$C$3:$C$500,MATCH($B73,pilotos!$A$3:$A$500,0))&gt;0,INDEX(pilotos!$C$3:$C$500,MATCH($B73,pilotos!$A$3:$A$500,0))/$B$4,"")</f>
      </c>
      <c r="N73" s="11">
        <f>SUM(D73:M73)</f>
      </c>
    </row>
    <row r="74" spans="1:14" x14ac:dyDescent="0.25">
      <c r="A74" t="s">
        <v>966</v>
      </c>
      <c r="B74" t="s">
        <v>35</v>
      </c>
      <c r="C74">
        <f>INDEX(pilotos!$B$3:$B$500,MATCH($B74,pilotos!$A$3:$A$500,0))</f>
      </c>
      <c r="D74" s="11">
        <f>IF(INDEX(pilotos!$C$3:$C$500,MATCH($B74,pilotos!$A$3:$A$500,0))&gt;0,INDEX(pilotos!$C$3:$C$500,MATCH($B74,pilotos!$A$3:$A$500,0))/$B$4,"")</f>
      </c>
      <c r="N74" s="11">
        <f>SUM(D74:M74)</f>
      </c>
    </row>
    <row r="75" spans="1:14" x14ac:dyDescent="0.25">
      <c r="A75" t="s">
        <v>966</v>
      </c>
      <c r="B75" t="s">
        <v>220</v>
      </c>
      <c r="C75">
        <f>INDEX(pilotos!$B$3:$B$500,MATCH($B75,pilotos!$A$3:$A$500,0))</f>
      </c>
      <c r="D75" s="11">
        <f>IF(INDEX(pilotos!$C$3:$C$500,MATCH($B75,pilotos!$A$3:$A$500,0))&gt;0,INDEX(pilotos!$C$3:$C$500,MATCH($B75,pilotos!$A$3:$A$500,0))/$B$4,"")</f>
      </c>
      <c r="N75" s="11">
        <f>SUM(D75:M75)</f>
      </c>
    </row>
    <row r="76" spans="1:14" x14ac:dyDescent="0.25">
      <c r="A76" t="s">
        <v>966</v>
      </c>
      <c r="B76" t="s">
        <v>222</v>
      </c>
      <c r="C76">
        <f>INDEX(pilotos!$B$3:$B$500,MATCH($B76,pilotos!$A$3:$A$500,0))</f>
      </c>
      <c r="D76" s="11">
        <f>IF(INDEX(pilotos!$C$3:$C$500,MATCH($B76,pilotos!$A$3:$A$500,0))&gt;0,INDEX(pilotos!$C$3:$C$500,MATCH($B76,pilotos!$A$3:$A$500,0))/$B$4,"")</f>
      </c>
      <c r="N76" s="11">
        <f>SUM(D76:M76)</f>
      </c>
    </row>
    <row r="78" spans="3:14" x14ac:dyDescent="0.25">
      <c r="C78" s="1" t="s">
        <v>967</v>
      </c>
      <c r="N78" s="11">
        <f>SUM(N11:N76)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Leeme</vt:lpstr>
      <vt:lpstr>enemigos</vt:lpstr>
      <vt:lpstr>armas</vt:lpstr>
      <vt:lpstr>pasivas</vt:lpstr>
      <vt:lpstr>autos</vt:lpstr>
      <vt:lpstr>pilotos</vt:lpstr>
      <vt:lpstr>precios</vt:lpstr>
      <vt:lpstr>plagas</vt:lpstr>
      <vt:lpstr>armas_extra</vt:lpstr>
      <vt:lpstr>ritmo</vt:lpstr>
      <vt:lpstr>ataques</vt:lpstr>
      <vt:lpstr>Golpes para matar</vt:lpstr>
      <vt:lpstr>Tiempo jefe</vt:lpstr>
      <vt:lpstr>Partidas para comprar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2026-10-04T22:12:17Z</dcterms:created>
  <dcterms:modified xsi:type="dcterms:W3CDTF">2026-10-04T22:12:17Z</dcterms:modified>
</cp:coreProperties>
</file>